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품질경영평가시트" sheetId="1" r:id="rId5"/>
    <sheet state="visible" name="품질경영평가시트 (2)" sheetId="2" r:id="rId6"/>
  </sheets>
  <definedNames>
    <definedName hidden="1" localSheetId="0" name="_xlnm._FilterDatabase">'품질경영평가시트'!$B$7:$O$42</definedName>
    <definedName hidden="1" localSheetId="1" name="_xlnm._FilterDatabase">'품질경영평가시트 (2)'!$B$7:$P$51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DAS:
2020년 품질 5스타
현장 심사 강화 항목
[ 청색 표시 ]</t>
      </text>
    </comment>
  </commentList>
</comments>
</file>

<file path=xl/sharedStrings.xml><?xml version="1.0" encoding="utf-8"?>
<sst xmlns="http://schemas.openxmlformats.org/spreadsheetml/2006/main" count="468" uniqueCount="232">
  <si>
    <t>심사 일자</t>
  </si>
  <si>
    <t>품질경영시스템 내부심사 체크시트</t>
  </si>
  <si>
    <t>H-RISK</t>
  </si>
  <si>
    <r>
      <rPr>
        <rFont val="맑은 고딕"/>
        <b/>
        <color rgb="FF000000"/>
        <sz val="10.0"/>
      </rPr>
      <t>H:</t>
    </r>
    <r>
      <rPr>
        <rFont val="맑은 고딕"/>
        <color rgb="FF000000"/>
        <sz val="10.0"/>
      </rPr>
      <t xml:space="preserve">관련 프로세스가 절차서/지침서에 따라 </t>
    </r>
    <r>
      <rPr>
        <rFont val="맑은 고딕"/>
        <b/>
        <color rgb="FFFF0000"/>
        <sz val="10.0"/>
      </rPr>
      <t>수행되지 않으며, 동일누락 또는 오류가 많음</t>
    </r>
  </si>
  <si>
    <r>
      <rPr>
        <rFont val="맑은 고딕"/>
        <b/>
        <color rgb="FF000000"/>
        <sz val="10.0"/>
      </rPr>
      <t>H:</t>
    </r>
    <r>
      <rPr>
        <rFont val="맑은 고딕"/>
        <color rgb="FF000000"/>
        <sz val="10.0"/>
      </rPr>
      <t xml:space="preserve">관련 프로세스가 절차서/지침서에 따라 </t>
    </r>
    <r>
      <rPr>
        <rFont val="맑은 고딕"/>
        <b/>
        <color rgb="FFFF0000"/>
        <sz val="10.0"/>
      </rPr>
      <t>수행되지 않으며, 동일누락 또는 오류가 많음</t>
    </r>
  </si>
  <si>
    <t>심사 장소</t>
  </si>
  <si>
    <t>M-RISK</t>
  </si>
  <si>
    <r>
      <rPr>
        <rFont val="맑은 고딕"/>
        <b/>
        <color rgb="FF000000"/>
        <sz val="10.0"/>
      </rPr>
      <t>M:</t>
    </r>
    <r>
      <rPr>
        <rFont val="맑은 고딕"/>
        <color rgb="FF000000"/>
        <sz val="10.0"/>
      </rPr>
      <t>관련 프로세스가 절차서/지침서에 따라</t>
    </r>
    <r>
      <rPr>
        <rFont val="맑은 고딕"/>
        <b/>
        <color rgb="FFFF0000"/>
        <sz val="10.0"/>
      </rPr>
      <t xml:space="preserve"> 수행되고 있으나, 일부 항목의 누락 또는 오류가 있음.</t>
    </r>
  </si>
  <si>
    <r>
      <rPr>
        <rFont val="맑은 고딕"/>
        <b/>
        <color rgb="FF000000"/>
        <sz val="10.0"/>
      </rPr>
      <t>M:</t>
    </r>
    <r>
      <rPr>
        <rFont val="맑은 고딕"/>
        <color rgb="FF000000"/>
        <sz val="10.0"/>
      </rPr>
      <t>관련 프로세스가 절차서/지침서에 따라</t>
    </r>
    <r>
      <rPr>
        <rFont val="맑은 고딕"/>
        <b/>
        <color rgb="FFFF0000"/>
        <sz val="10.0"/>
      </rPr>
      <t xml:space="preserve"> 수행되고 있으나, 일부 항목의 누락 또는 오류가 있음.</t>
    </r>
  </si>
  <si>
    <t>심사 담당</t>
  </si>
  <si>
    <t>L-RISK</t>
  </si>
  <si>
    <r>
      <rPr>
        <rFont val="맑은 고딕"/>
        <b/>
        <color rgb="FF000000"/>
        <sz val="10.0"/>
      </rPr>
      <t>L:</t>
    </r>
    <r>
      <rPr>
        <rFont val="맑은 고딕"/>
        <color rgb="FF000000"/>
        <sz val="10.0"/>
      </rPr>
      <t xml:space="preserve">관련 프로세스가 절차서/지침서에 준하여 </t>
    </r>
    <r>
      <rPr>
        <rFont val="맑은 고딕"/>
        <b/>
        <color rgb="FF0000FF"/>
        <sz val="10.0"/>
      </rPr>
      <t>누락 또는 오류 없이 수행됨.</t>
    </r>
  </si>
  <si>
    <r>
      <rPr>
        <rFont val="맑은 고딕"/>
        <b/>
        <color rgb="FF000000"/>
        <sz val="10.0"/>
      </rPr>
      <t>L:</t>
    </r>
    <r>
      <rPr>
        <rFont val="맑은 고딕"/>
        <color rgb="FF000000"/>
        <sz val="10.0"/>
      </rPr>
      <t xml:space="preserve">관련 프로세스가 절차서/지침서에 준하여 </t>
    </r>
    <r>
      <rPr>
        <rFont val="맑은 고딕"/>
        <b/>
        <color rgb="FF0000FF"/>
        <sz val="10.0"/>
      </rPr>
      <t>누락 또는 오류 없이 수행됨.</t>
    </r>
  </si>
  <si>
    <t>No.</t>
  </si>
  <si>
    <t>QMS</t>
  </si>
  <si>
    <t>SSQ</t>
  </si>
  <si>
    <t>평가 항목</t>
  </si>
  <si>
    <t>세부 평가 내용</t>
  </si>
  <si>
    <t>결과물</t>
  </si>
  <si>
    <t>가중치</t>
  </si>
  <si>
    <t>RISK 등급</t>
  </si>
  <si>
    <t>가중*RISK</t>
  </si>
  <si>
    <t>점검 항목</t>
  </si>
  <si>
    <t>책임팀</t>
  </si>
  <si>
    <t>점검 결과 (5W1H 상세 작성)</t>
  </si>
  <si>
    <t xml:space="preserve">경영 관리 프로세스 </t>
  </si>
  <si>
    <t>품질운영</t>
  </si>
  <si>
    <t>품질 조직의 독립성 및 업무 분장</t>
  </si>
  <si>
    <t xml:space="preserve"> 1) 조직의 독립성 및 역할 구분 
 2) 조직의 책임 및 권한 명문화</t>
  </si>
  <si>
    <t xml:space="preserve"> - 조직도 
 - 업무 분장도 </t>
  </si>
  <si>
    <t>검사 및 시험 절차</t>
  </si>
  <si>
    <t>품질경영</t>
  </si>
  <si>
    <t xml:space="preserve">수입검사, 공정 검사, 출하 검사, 시장 품질 등 목표 대비 실적이 관리 되며 보고 되고 있는가? </t>
  </si>
  <si>
    <t>L</t>
  </si>
  <si>
    <t>주(월)간 품질회의 보고서, (수입,공정,출하)검사 실적 및 집계표</t>
  </si>
  <si>
    <t>품질 인력에 대한 품질 관련 교육훈련 프로그램 운영</t>
  </si>
  <si>
    <t xml:space="preserve"> 1) 년간 직무 교육훈련 커리큘럼 및 계획서 보유 
 (품질 Master 과정에 대한 체계적 운영) 
 2) 직무별 교육 과정의 적합성 
 3) 계획 대비 실행율 80% 이상 (최근2년) 
 4) 직무교육 이력관리 
 5) 품질 전문 인력 확보 (품질관련 국가 자격 보유 비율) </t>
  </si>
  <si>
    <t xml:space="preserve"> - 교육계획서 
 - 교육보고서 
- 교육이력대장 
-  자격증 현황 </t>
  </si>
  <si>
    <t>품질 검사자에 대한 자격 인증 실시</t>
  </si>
  <si>
    <t xml:space="preserve"> 1) 자격 인증 필요 대상 선정 및 인증 기준/절차 보유 
 2) 인증 절차 및 방법 (이론 및 실시) 의 적절성 
 3) 인증 평가 근거 (이력 확인) 
 4) 자격 인증 기간 유효성 및 갱신 / Lv Up 확인 
 5) 인증 인력별 업무 배치 
 6) 인증 인력 식별 관리 (현황판, 복장 등) </t>
  </si>
  <si>
    <t>- 자격 인증 절차서
- 평가서.
- 인증서
- 업무분장표
- 인증현황 및 식별 관리</t>
  </si>
  <si>
    <t>조직 및 업무분장 절차</t>
  </si>
  <si>
    <t xml:space="preserve">내부 심사원에 대한 자격 인증 실시 </t>
  </si>
  <si>
    <t xml:space="preserve"> 1) 내부 심사원 운영 기준 
 2) 내부 심사원 교육/평가/자격 인증 
 3) 자격 인증 유효성 관리 
 4) Cross Check 를 통한 내부 심사 객관성 확보 </t>
  </si>
  <si>
    <t xml:space="preserve"> - 자격 인증 절차서 
 - 평가서 
 - 인증서 
 - 업무 분장표 
 - 내부 심사원 List </t>
  </si>
  <si>
    <t>품질 관리 부서의 독립성 및 업무 분장은 되어 있는가</t>
  </si>
  <si>
    <t>업무분장표</t>
  </si>
  <si>
    <t xml:space="preserve">품질 절차서(규정/규칙)의 유지 / 관리 </t>
  </si>
  <si>
    <t xml:space="preserve"> 1) 표준 문서 관리 절차 보유 
 2) 제/개정에 대한 검토/승인 관리 
 3) 제/개정 실적 및 이력 관리 List 보유 
 4) 전산 시스템을 활용한 보관 및 소실 시 Back up 대책 
 5) 개정 기간 도래 시 사전 알림 (개정 누락 방지, 전산 시스템 자동) </t>
  </si>
  <si>
    <t xml:space="preserve"> - 품질매뉴얼 
 - 절차서 (규정/규칙) 
 - 전결 (진본) </t>
  </si>
  <si>
    <t xml:space="preserve">품질경영시스템 인증 (ISO9001) 및 사후 / 갱신 유지 관리 </t>
  </si>
  <si>
    <t xml:space="preserve"> 1) 계획에 따라 사후/갱신 심사가 정기적으로 진행 됨 
 2) 심사 부적합/권고사항 시정 조치 관리 
 3) 사내 규정에 정의된 담당자 보유</t>
  </si>
  <si>
    <t xml:space="preserve"> - 인증서 
 - 시정조치보고서 </t>
  </si>
  <si>
    <t>품질 부서 인원은 전 품목에 대한 전수 검사 업무 수행에 충분한가</t>
  </si>
  <si>
    <t>업무분장표, 직무 분석 조사표</t>
  </si>
  <si>
    <t xml:space="preserve">품질 내부 심사의 정기 실시 (ISO9001 규정) </t>
  </si>
  <si>
    <t xml:space="preserve"> 1) 년간  계획을 수립 하고 전 부서 대상 절차대로 시행 
 2) 지적 또는 권고에 대한 시정조치 </t>
  </si>
  <si>
    <t xml:space="preserve"> - 내부감사 계획서 
 - 결과 보고서 
 - 시정 조치 보고서 </t>
  </si>
  <si>
    <t xml:space="preserve">품질목표 (KPI) 수립 및 지속적 개선활동 실시 </t>
  </si>
  <si>
    <t xml:space="preserve"> 1) 전사 품질 목표 수립 (내부,고객) / 개선 계획서 (전략, Action item) 
 2) 각 과제별 목표 지수가 고객사 관리 지수와 일치 
 3) 실현 가능한 수준의 전략, Action Item 수립 및 승인 
 4) 품질목표 달성 위한 정기 점검, 개선 활동 이력 있음 
 5) 목표/전략 미진 항목에 대해 복기 및 개선 추진 활동 
 6) 경영진 정기 보고 체계 </t>
  </si>
  <si>
    <t xml:space="preserve"> - 전략 
 - 보고서 
 - 회의록 </t>
  </si>
  <si>
    <t>인적 자원 관리 절차</t>
  </si>
  <si>
    <t>검사 인력 자격인증 기준이 있으며, 주기적 운영되고 있는가</t>
  </si>
  <si>
    <t>조직 내의 의사 소통 (정기회의 구성 및 운영 체계)</t>
  </si>
  <si>
    <t>검사원 인증 기준서 인증서, 평가 이력</t>
  </si>
  <si>
    <t xml:space="preserve"> 1) 경영진 주관 정기 품질 회의 실시 
 2) 고객/내부/협력사 단계의 품질 현황, 분석, 조치, 대책 관리 
 3) 품질회의 결과 및 경영진 F/B 사항에 대한 후속 활동 진행 
 4) 경영진 정기 보고 체계 </t>
  </si>
  <si>
    <t xml:space="preserve"> - 품질회의 운영안 
 - 보고서 
 - 회의록</t>
  </si>
  <si>
    <t xml:space="preserve">검사 업무 프로세스 </t>
  </si>
  <si>
    <t>검사체계</t>
  </si>
  <si>
    <t xml:space="preserve">자재/부품 수입검사 운영 체계 </t>
  </si>
  <si>
    <t xml:space="preserve"> 1) 검사 기준(관리계획 수립, 대상별 검사 방법, 검사수, 전환규칙 
소재 별 Aging 외) 
 2) 검사 기준서 최신.Ver 유지 (개정 1년 이내, 개정 이력 확인 )
 3) 중요 품목 선정 및 검사 표준서 보유 
 4) 발주 품목에 대한 품질 특성 측정 가능한 계측기 보유 
 5) 검사 성적서 작성/ 보관(외주업체 제출 성적서 포함) 
 6) 검사 결과 이력관리(전산시스템을 통한 관리, 수기관리) </t>
  </si>
  <si>
    <t xml:space="preserve"> - 수입검사 업무 절차서 
 - 검사기준서 
 - 검사 성적서 
 - 관리계획서 
 - 계측기리스트 
 - 검사 이력관리 
 - 부적합 관리 절차서 </t>
  </si>
  <si>
    <t>부품 승인 절차</t>
  </si>
  <si>
    <t>검사관리</t>
  </si>
  <si>
    <t>수입 검사 규정 (최신본 개정 여부) 및 절차를 보유 하고 있는가</t>
  </si>
  <si>
    <t>입고 검사 절차서</t>
  </si>
  <si>
    <t xml:space="preserve">수입검사 기준에 준한 처리 </t>
  </si>
  <si>
    <t xml:space="preserve"> 1) 구역 분리 운영 (검사대기,완료,진행,합격,불합격 등 흔적) 
 2) 검사실 항온/항습 관리 ( 실온  20도 +-2도,습도 65% 이하) 
 3) 검사 기준에 준한 대상 별 검사 실시 (검사방법,검사수,전환규칙 반영) 
 4) 검사 진행, 검사원의 검사 기준 인지(검사실 확인, 인터뷰) 
 5) 중요 품목 검사 표준 준수 (검사실 확인) 
 6) 중요 품목에 대한 관리도, SPC 운영 /분석 
 7) 직납품의 전수 검사 실시 
 * 기준 모호, 품질특성 미 고려한 계측기를 활용한 상태 진행시 
신뢰성 없음 판정 </t>
  </si>
  <si>
    <t xml:space="preserve">수입검사 불합격품에 대한 처리 </t>
  </si>
  <si>
    <t xml:space="preserve"> 1) 격리 식별, 처리 등 부적합품 관리 준수 (현장 확인 병행) 
 2) 부적합품 수정/조치 후 재 검사 및 이력관리 절차 준수 </t>
  </si>
  <si>
    <t xml:space="preserve">품질 부서의 공정 감사 운영 </t>
  </si>
  <si>
    <t xml:space="preserve"> 1) 공정표 기준 단계별 검사 주체, 역할 정의 (외주,제조,품질 전환규칙) 
 2) 품질 검사 구간에 대한 검사 표준 Check Sheet 최신 Ver 유지 
 3) 공정 검사 Check 항목에 대한 적합성(정량, 정성) 
 4) 공정 검사 부적격에 대한 식별, 격리, 조치, 재검사, 기록 
 5) 검사 결과 이력관리(전산시스템을 통한 관리, 수기 관리) 
 6) 공정표 기준 제작 중 발생된 부적합에 대한 공정 별 지수 관리 </t>
  </si>
  <si>
    <t xml:space="preserve"> - 공정검사 업무 절차서 
 - Check Sheet 
 - 검사 이력관리 
 - 공정표 
 - 부적합 분석 자료 
 - 부적합 관리 절차 </t>
  </si>
  <si>
    <t>CTQ 절차</t>
  </si>
  <si>
    <t>핵심 (중요) 품목이 지정되어 있으며 품목 (유형)별로 수입검사 기준(표준)을 별도 보유 하고 있는가</t>
  </si>
  <si>
    <t>CTQ 항목, QC 공정도, 작업표준서</t>
  </si>
  <si>
    <t>완성품 보증을 위한 출하 승인 체계</t>
  </si>
  <si>
    <t xml:space="preserve"> 1) 검사 기준 or 체크시트의 변경 이력 관리 및 최신본 유지 
 2) 출하 승인 조건 (승인을 위한 산출물, 전결규정) 
 3) 사양 검토 및 이상 여부 Check(옵션 사양,납입처,특이사항) 
 4) 표준 Check sheet의 변경 사항 반영 및 Check (설계변경, 5M1E 변경 ) 
 5) 사양 외 고객 요구 사항이 반영된 출하 검사 Check Sheet 운영 
 * 외관, 8계통, 청정 등 기능성, 동작, 특성 검사 외 
 6) 출하검사 산출물에 대한 실행 수준 (누락,기준 불일치, 판정오류,재검사등) 
 7) 이전 문제 재발방지를 위한 Re-check 
 8) 검사 결과 이력관리 (전산시스템을 통한 관리, 수기관리) 
 9) 출하검사 부적격에 대한 식별, 부적합품 격리, 조치, 재검사, 기록 </t>
  </si>
  <si>
    <t xml:space="preserve"> - 출하 검사 업무 절차서 
 - Check Sheet. 
 - 검사 이력 관리 
 - 부적합 분석 자료 
 - 부적합 관리 절차 </t>
  </si>
  <si>
    <t>수입검사 기준에 따른 검사가 실시 되었는가 검사 수량 및 판정결과가 검사기준을 만족하는가 (검사 완료품 Sample 3개 이상 Check)</t>
  </si>
  <si>
    <t>수입검사 성적서, 기준서, 협정서</t>
  </si>
  <si>
    <t>수입검사 품목에 해당하는 2차 협력사 성적서 관리는 하고 있는가</t>
  </si>
  <si>
    <t xml:space="preserve">개선 프로세스 </t>
  </si>
  <si>
    <t>지속적개선</t>
  </si>
  <si>
    <t>부적합 시정 조치 처리 절차/기준 적합성</t>
  </si>
  <si>
    <t xml:space="preserve"> 1) 협력사 / 사내/ 고객 단계 구분 운영 
 2) 시정 조치 운영 조건 명확 
 3) 시정 조치 요구서 작성/결재/통보/공유 
 4) 고객 부적합/이슈 실시간 보고 체계 운영 </t>
  </si>
  <si>
    <t xml:space="preserve"> - 부적합 관리 절차 
 - 시정조치 절차 </t>
  </si>
  <si>
    <t>수입검사 결과에 대한 실적(현황) 관리 하고 있는가 ( 실적 : Raw Data, 불량 내용 포함)</t>
  </si>
  <si>
    <t>입고실적, 불량율 집계</t>
  </si>
  <si>
    <t>작업표준 관리 지침</t>
  </si>
  <si>
    <t>최신 Ver의 SOP (조립표준서, 조립도면, Check Sheet)를 보유 하고 있는가. (이력대장 포함 된 최신 SOP 관리)</t>
  </si>
  <si>
    <t>작업표준서, 점검시트</t>
  </si>
  <si>
    <t xml:space="preserve">부적합 대책 수립 및 개선 활동 </t>
  </si>
  <si>
    <t xml:space="preserve"> 1) 관련 부서 참여한 분석 활동 
 2) Qc7가지 도구, 8D,5why 등 체계화된 분석 기법 도입/운영 
 3) 대책 회의체 운영 (분석/대책 타당성 검토 ) 
 4) 대책 유효성 검증 활동(사후관리,지속이행) 
 5) 부적합 재발 및 유사 부적합 모니터링 
 6) 표준 문서 반영 (SOP,Check Sheet 외) 
 7) 부적합 이력 관리 및 모니터링 </t>
  </si>
  <si>
    <t xml:space="preserve"> - 부적합 관리 대장 
 - NCR 
 - CAR 
 - 회의록 
 - 검토 보고서 </t>
  </si>
  <si>
    <t>단계 검사 Check Sheet (or 협력사 자체 C/S)에 따라 검사가 실시 되고 있는가 (실 작업자 Check 여부, 작업 동시 Check 여부 확인)</t>
  </si>
  <si>
    <t>단계 검사 체크시트</t>
  </si>
  <si>
    <t xml:space="preserve">부적합 예방 활동 </t>
  </si>
  <si>
    <t xml:space="preserve"> 1) 횡 확산 개선 활동, 작업 환경 효율적 운영 사례(환경이슈 방지) 
불량 사례 전파, 교육 
 2) 자동화, Jig, 방법 등 FoolProof 적용 (효과 검증), 기타 부적합 
예방 활동 추진 실적 (효과 검증) </t>
  </si>
  <si>
    <t xml:space="preserve"> - 개선 보고서 
 - 예방 활동 실적 </t>
  </si>
  <si>
    <t>SOP (조립표준서, 조립도면, Check Sheet) 는 현장에 작업자가 쉽게 열람할 수 있도록 해당 공정에 비치 되어 있는가</t>
  </si>
  <si>
    <t>자체 출하 검사 절차 (Process)가 수립되어 있는가 (출하 조건 별 관리 행위에 대한 내용 필수 내포되어야 함)</t>
  </si>
  <si>
    <t xml:space="preserve">계측기 
현황관리 </t>
  </si>
  <si>
    <t xml:space="preserve">계측기 관리 기준 적합성 </t>
  </si>
  <si>
    <t xml:space="preserve"> 1) 계측기 분류 기준 (검교정, 비대상, 유휴, 수리/폐기 등 자체 &amp; 
Kolas 기준 반영) 
 2) 유휴 계측기 처리 절차(유휴전환 결정, 처리,식별,보관/사용 전환 
절차) 
 3) 검교정 주기 설정(자체 &amp;Kolas 기준 적용) 
 4) 검교정 이력 관리, 성적서 관리 
 5) 계측기 사용 추적 관리(대여, 출장, 교정 반출 등 현황 실시간확인) 
 6) 계측기 일상 점검 기준(점검 대상 정의) 및 이력 
 7) 측정 시스템 검증</t>
  </si>
  <si>
    <t xml:space="preserve"> - 계측기 관리 절차 
 - 계측기 List 
 - 교정이력 
 - 점검 기준서 
 - Check Sheet </t>
  </si>
  <si>
    <t>출하 검사 절차서</t>
  </si>
  <si>
    <t>2.10</t>
  </si>
  <si>
    <t>출하 검사 기준 (절차)에 맞는 출하 조건 결재 행위가 실시되고 있는가</t>
  </si>
  <si>
    <t>출하 검사 성적서</t>
  </si>
  <si>
    <t>계측기의 현장 보관 및 관리 상태</t>
  </si>
  <si>
    <t xml:space="preserve"> 1) 검교정 누락 계측기 확인, 검교정 계측기 필증 부착 및 유효기간 
(도급 포함)
 2) 비교정 대상 계측기 미 식별 
 3) 유휴/불량 계측기 미 식별, 현장 방치, 미 시건 </t>
  </si>
  <si>
    <t xml:space="preserve"> 현장 확인 </t>
  </si>
  <si>
    <t>출하 검사 결과에 대한 실적 (현황) 관리 하고 있는가 (실적 : Raw data, 불량 내용 포함)</t>
  </si>
  <si>
    <t>Jig/시편 관리 기준 적합성</t>
  </si>
  <si>
    <t xml:space="preserve"> 1) Jig/시편 운영 기준 (검정/교정, 식별, 보관 등) 
 2) 품목별 관리 기준 (용도, 검정주기, Check Point, 검정/교정방법) 
 3) 검정/교정 이력 관리, 성적서 관리 
 4) Jig/ 시편 사용 추적 관리(대여,출장,교정 반출 등 현황 실시간확인) 
 5) Jig/시편 일상 점검 기준 (점검 대상 정의 )및 이력</t>
  </si>
  <si>
    <t xml:space="preserve"> - Jig 관리 절차 
 - Jig 리스트 
 - 검증 이력 
 - 점검 기준서 
 - Check Sheet </t>
  </si>
  <si>
    <t>Jig/시편의 현장 보관 및 관리 상태</t>
  </si>
  <si>
    <t xml:space="preserve"> 1) Jig/시편 식별표 부착 
 2) 식별표 내 검정 일자, 유효기간 기재 (성적서 대조 확인 )
 3) 외부 환경으로부터 변형, 파손 등 보호 조치 </t>
  </si>
  <si>
    <t>부적합 및 시정조치 절차</t>
  </si>
  <si>
    <t>부적합관리</t>
  </si>
  <si>
    <t xml:space="preserve">수입, 공정, 출하, 시장 불량에 대한 부적합 처리 절차가 있는가 </t>
  </si>
  <si>
    <t>부적합절차서</t>
  </si>
  <si>
    <t xml:space="preserve">구매 업무 프로세스 </t>
  </si>
  <si>
    <t>협력사 관리</t>
  </si>
  <si>
    <t xml:space="preserve">외주 협력사 (인력 도급 포함) 선정 Process 운영 </t>
  </si>
  <si>
    <t xml:space="preserve"> 1) 신규/이원화 협력사 선정 기준의 명확성 
 (적용대상, 발굴 목적별 세부운영, 처리 절차, 부서별 역할 및 
 책임/권한, 승인 기준, 전결 규정 등 명문화) 
 2) 협력사 선정 Process 운영 / 준수 
 3) 제작/부품 승인 절차 운영 
 4) 협력사 선정 결과 이력 관리 </t>
  </si>
  <si>
    <t xml:space="preserve"> - 협력사 선정 
 - 협력사 관리 절차 
 - 협력사 List 
 - 선정 이력 
 - Qual 절차 및 이력 </t>
  </si>
  <si>
    <t>내부 (외주포함) 부적합 대책 요청 및 대책 입수가 되고 있는가 (원인 분석, 재발방지 대책)</t>
  </si>
  <si>
    <t>부적합 개선 대책서, 부적합 관리 대장</t>
  </si>
  <si>
    <t xml:space="preserve">외주 협력사 Pool 관리 (인력 도급 제외) </t>
  </si>
  <si>
    <t xml:space="preserve"> 1) 거래 협력사 Pool list 최신 ver보유 
 2) 발주 품목 별 거래 협력사 List 보유, 발주 부품 별 추적관리가능 
 3) SSQ 인증사 활용</t>
  </si>
  <si>
    <t>내부 (외주포함) 부적합의 개선 대책에 대한 유효성 (사후관리) 평가는 실시 하고 있는가</t>
  </si>
  <si>
    <t>부적합 유효성 관리대장</t>
  </si>
  <si>
    <t xml:space="preserve">외주 협력사 품질 관리 (인력 도급 제외) </t>
  </si>
  <si>
    <t xml:space="preserve"> 1) 협력사별 품질 지수 Trend 관리 
 2) 협력사 등급 관리 기준 
 3) Worst 협력사 대응 (지원/육성/회의체 운영/상시진단 및 개선활동 
/ Penalty /Fade out 등) 
 4) 협력사 교육/지원 활동 </t>
  </si>
  <si>
    <t xml:space="preserve"> - 협력사 선정 
 - 협력사 관리 절차 
 - 협력사 List 
 - 평가 결과 
 - 교육 프로그램 </t>
  </si>
  <si>
    <t>외주 협력사 정기 평가 Process 운영</t>
  </si>
  <si>
    <t xml:space="preserve"> 1) 정기 평가 대상 선정 기준의 명확성 
 2) 정기 평가 Process 운영/준수 
 3) 결과 Feed Back 및 시정 조치 요구 
 4) 정기 평가 결과에 대한 후속 관리 운영 (ex 등급별 처우 등) </t>
  </si>
  <si>
    <t xml:space="preserve"> - 협력사 선정 
 - 협력사 관리 절차 
 - 협력사 List 
 - 정기 평가 계획 
 - 평가 이력 
 - 결과 보고서 
 - Car</t>
  </si>
  <si>
    <t>4M 변경 관리 절차</t>
  </si>
  <si>
    <t>변경점</t>
  </si>
  <si>
    <t>변경점 처리 기준을 보유 하고 있는가 ? * 변경점 운영 범위 : 고객, 자체 (설계, 생산), 협력사</t>
  </si>
  <si>
    <t>변경점 절차서, 변경점 관리대장</t>
  </si>
  <si>
    <t>변경점 관리 Process 보유</t>
  </si>
  <si>
    <t xml:space="preserve"> 1) 관리 표준 절차 보유 (10점) 
 2) 변경 유형 및 변경 등급 정의(내/외부, 고객사 포함) (40점) 
 3) 각 부서 역할 및 점검 항목의 명문화 (10점) 
 4) 변경 유형/등급 별 평가, 검토, 승인 조건, 공유, 산출물 정의 (40점) 
 5) 고객 통보 (신고), 고객 승인 절차의 적절성 
 6) 변경점 식별, 추적 관리 
 *test 조건, 단계별 적용 계획 포함 </t>
  </si>
  <si>
    <t xml:space="preserve"> - 변경점 관리 절차 </t>
  </si>
  <si>
    <t>변경점 관리를 실시 하고 있는가 ?</t>
  </si>
  <si>
    <t>변경점 관리대장</t>
  </si>
  <si>
    <t xml:space="preserve">고객으로 부터 접수된 변경점에 대한 내부 관리 절차 </t>
  </si>
  <si>
    <t xml:space="preserve"> 1) 대응 절차/담당 부서(접수 -&gt; 이관/처리 -&gt;공유/관리) 
 2) 고객 변경 / 대응 결과 기록 관리 
 3) 현장 식별 (알림) 및 적용 
 * 변경내역, 날짜, 사유, 적용설비 </t>
  </si>
  <si>
    <t xml:space="preserve"> - 변경 관리 절차 
 - 실행 이력 
 - 검토 보고서 
 - 승인서 </t>
  </si>
  <si>
    <t xml:space="preserve">내부 변경에 대해 규칙에 준한 실행과 관리 </t>
  </si>
  <si>
    <t xml:space="preserve"> 1) 발의 /검토/승인 단계 별 절차 준수(단계별 산출물 포함 )
 * 변경 검토 내용, 단계별 검토 및 승인, 회의록, 평가결과, 공유등 
 2) 변경점 실행(현장 식별/알림, 표준문서/양식 반영 및 기록) 
 3) 추적 관리 (적용 설비 제번, 시점, 변경 내용 &amp; 점검결과 포함) 
 4) 불량 발생시 처리 절차 
 * 원복 or 개선품 횡전개 조건 </t>
  </si>
  <si>
    <t>외부공급자 절차</t>
  </si>
  <si>
    <t>협력사관리</t>
  </si>
  <si>
    <t>협력사 평가 기준을 보유하고 있는가</t>
  </si>
  <si>
    <t>협력사 평가기준, 협력사 평가시트</t>
  </si>
  <si>
    <t xml:space="preserve">협력사 변경에 대해 규칙에 준한 실행과 관리 </t>
  </si>
  <si>
    <t xml:space="preserve"> 1) 접수/검토/승인 단계별 절차 준수 (단계별 산출물 포함) 
 * 변경 검토 내용, 단계별 검토 및 승인, 회의록, 평가결과,공유등 
 2) 변경점 검증 (부서별 역할에 준한 서류 &amp; 현장 검증, 평가, 승인) 
 3) 추적 관리 (적용 부품 제번, 시점, 변경내용 &amp; 점검결과 포함 )
 4) 불량 발생시 처리 절차 
 * 원복 or 개선품 횡전개 조건 </t>
  </si>
  <si>
    <t>변경 사항에 대한 최종 고객 승인 실시</t>
  </si>
  <si>
    <t xml:space="preserve"> 1) 관리 규칙에 준한 처리 
 2) 고객 접수 (통보) /검토/승인 등 처리 단계 모니터링 실시 
 3) 고객 승인 후 현장 적용 시점,PJT 등 추적 관리 모니터링 
 * 고객 승인 전 적용 적발시 NG</t>
  </si>
  <si>
    <t>협력사 평가 기준대로 시행하고 있는가</t>
  </si>
  <si>
    <t>협력사 평가 계획 대 실적</t>
  </si>
  <si>
    <t>평가 결과에 대한 사후관리가 실시되고 있는가 (지적사항 개선 대책서 입수 및 이행 점검 결과)</t>
  </si>
  <si>
    <t xml:space="preserve">협력사 지적사항 및 개선 대책 </t>
  </si>
  <si>
    <t xml:space="preserve">생산 관리 프로세스 </t>
  </si>
  <si>
    <t>현장관리</t>
  </si>
  <si>
    <t xml:space="preserve">자재 창고/보관에 대한 관리 기준 </t>
  </si>
  <si>
    <t xml:space="preserve"> 1) 외부 환경에 대한 보호 관리 
 * 햇빛 노출, 먼지 유입등 
 2) 온습 관리 (온도, 기준제시, 습도 65% 이하) 
 * 기준 제시 : 자재 Maker 별 요구 수준에 준한 관리 필요 
 3) 사용품/반품/폐기/불용품 등 구역 식별 
 4) 사용품 주소체계, 적재/식별/보관 기준 관리 
 5) 선입선출 관리 
 6) 현장 5s 수준 및 check 기록  </t>
  </si>
  <si>
    <t>자재 관리 절차</t>
  </si>
  <si>
    <t>자재 관리</t>
  </si>
  <si>
    <t>제품 (자재) 창고 보관 구역 표시는 되어 있는가 ( 부품 현장 투입 Process 시 _ 현장 내 선반 또는 지정된 장소에 보관 되어 있는가 )</t>
  </si>
  <si>
    <t>현장 구획 관리, 정위치, 눈으로 보는 관리</t>
  </si>
  <si>
    <t xml:space="preserve">수입 검사실 운영 기준 </t>
  </si>
  <si>
    <t xml:space="preserve"> 1) 별도 공간 보유 
 2) 현장 5s 3정 수준 및 check 기록 
 * 정리/정돈,  청소/청결, 먼지, 녹 등 </t>
  </si>
  <si>
    <t xml:space="preserve">생산 Line 청정 관리 </t>
  </si>
  <si>
    <t xml:space="preserve"> 1) 스막룸, 생산 Line 청정 상태 확인 (운영기준, Check 기록, 유지관리)</t>
  </si>
  <si>
    <t>자재 창고 환경 관리 기준 보유 및 주기적인 관리가 되고 있는가 (온도, 습도, 직사광선, 먼지 유입 등 )(부품 현장 투입 Process 시_자재 보관시 환경기준은 준수되고 있는가)</t>
  </si>
  <si>
    <t>온습도, 청결관리 기준</t>
  </si>
  <si>
    <t>부적합실적</t>
  </si>
  <si>
    <t xml:space="preserve">집계 기간 내 출하 전 부적합 실적 반영 점수 </t>
  </si>
  <si>
    <t>창고 5S 상태 확인 및 정기적 점검은 실시 하고 있는가 (부품 현장 투입시 Process 시 _ 현장 내 자재 보관시 5S 점검은 실시하고 있는가)</t>
  </si>
  <si>
    <t xml:space="preserve"> 1) 부적합 실적 등급 기준에 의거 점수 산출 
 * 품질 Penalty 이력 있는 경우 등급 별 감점 
 * Proactive notice 활동 가점 (도면 불합리 제안, 손들기 활동 등)반영</t>
  </si>
  <si>
    <t xml:space="preserve">3정5S 계획 대 실적 </t>
  </si>
  <si>
    <t xml:space="preserve">각 모듈 출하전 부적합 대당 건수 </t>
  </si>
  <si>
    <t>기준에 위배된 혼적, 역적은 없는가 * 적재 단수 (안전, 변형), 혼적(분실, 재고관리 문제), 역적(파손 소지) (부품 현장 투입 Process 시 _ 현장 내 자재 보관을 준수 하고 있는가)</t>
  </si>
  <si>
    <t>자재 관리 절차서</t>
  </si>
  <si>
    <t>식별 및 추적성 절차</t>
  </si>
  <si>
    <t xml:space="preserve">집계 기간 내 셋업 부적합 실적 반영 점수 </t>
  </si>
  <si>
    <t>자재에 대한 식별 (선반, 박스별, 자재 라벨 등) 양품으로 구분은 되는가 (부품 현장 투입 Process 시 _ 자재 식별은 되고 있는가)</t>
  </si>
  <si>
    <t>로트추적관리</t>
  </si>
  <si>
    <t xml:space="preserve">각 모듈 셋업 부적합 대당 건수 </t>
  </si>
  <si>
    <t>집계 기간 내 고객 클레임 등급 Lv 별 감점 기준 적용한 반영 점수</t>
  </si>
  <si>
    <t xml:space="preserve"> - Lv1(-5점), 2(-3), 3(-2), 4이하 (-1)</t>
  </si>
  <si>
    <t>고객클레임 등록 건수</t>
  </si>
  <si>
    <t>불량자재는 일반 자재창고 보관시 양품과 구분되는가 (부품 현장 투입 Process 시 _ 현장 내 양품과 구분되는가)</t>
  </si>
  <si>
    <t xml:space="preserve">불량품 격리 </t>
  </si>
  <si>
    <t>-</t>
  </si>
  <si>
    <t>인프라</t>
  </si>
  <si>
    <t>클린룸 (준 크린룸 포함) 관리 기준 보유 및 기준대로 관리되고 있는가 * 정리 (보관 외 물품이 없을 것) / 정돈 (미관상 양호) / 청소 (청소 상태, 주기)   / 청결 (바닥 외 보관 box, 선반, 자재 오염 여부 확인) / 습관화 (Check Sheet 운용)</t>
  </si>
  <si>
    <t>클린룸관리 기준서</t>
  </si>
  <si>
    <t>현장 Particle Spec 관리는 준수 되고 있는가</t>
  </si>
  <si>
    <t>클린복, 신발, 모자, 장갑 관리는 양호 한가</t>
  </si>
  <si>
    <t>Air Utility Spec 합격 관리 및 관리 대장이 운영 되고 있는가 (관리대장 : 소모품 교체, 필터 교체 주기 등)</t>
  </si>
  <si>
    <t>소모품관리대장, 설비점검이력대장</t>
  </si>
  <si>
    <t>수입검사실은 별도 공간으로 마련되어 있는가 검사실 5S (청정) 상태는 양호한가 전담 수입검사자는 배치되어 있는가 항온, 항습 관리 (실온 20도 +- 2도, 습도 65% 이하)가 되고 있는가 검사품목 (대기, 합격, 불합격)의 구분은 되고 있는가</t>
  </si>
  <si>
    <t>온습도관리, 검사전후 식별</t>
  </si>
  <si>
    <t>검사,계측기 및 시험장비 절차</t>
  </si>
  <si>
    <t>계측기</t>
  </si>
  <si>
    <t>검사에 필요한 계측기 /Jig는 확보 되어 있는가 (피 측정물의 재질, 형상, 정도, Size 및 도면 내 요구사항 검증)</t>
  </si>
  <si>
    <t>검교정 성적서, 검교정관리대장</t>
  </si>
  <si>
    <t>계측기 관리 기준을 보유 하고 있는가 * 사외, 사내 교정, 비교정, 유휴, 운휴 계측기 관리 방법 및 식별에 대한   내용 내포 필 (9001 요건 내 내용 내포 안되어 있을 경우 미 보유, 단 100% 사외 교정 실시 하고 있으며   비교정, 유휴 없을 경우 ISO9001 요건 인정)</t>
  </si>
  <si>
    <t>계측기 List에 의한 현황 관리가 최신 Ver으로 관리 되고 있는가 (품명, 기기번호, 구입일, 교정주기, 최근 교정 이력, 차기 교정예정일)</t>
  </si>
  <si>
    <t>교정을 실시 하고 있으며 성적서가 관리되고 있는가 (최근 1년, 전산관리 허용)</t>
  </si>
  <si>
    <t>교정, 유휴, 비교정, 불량 계측기의 Line 식별 여부 (검교정 필증, 식별스티커 부착)</t>
  </si>
  <si>
    <t>치공구 관리 지침</t>
  </si>
  <si>
    <t>Jig 및 공용 Tool List가 있는가</t>
  </si>
  <si>
    <t>치공구 관리 대장</t>
  </si>
  <si>
    <t>Jig 및 공용 Tool은 전용 보관 장소에 식별되어 보관 되어 있는가</t>
  </si>
  <si>
    <t>주기적으로 점검을 실시 하는가 (Check Sheet)</t>
  </si>
  <si>
    <t>치공구 자체 검교정</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</si>
</sst>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 "/>
    <numFmt numFmtId="165" formatCode="0.00_ "/>
  </numFmts>
  <fonts count="12">
    <font>
      <sz val="11.0"/>
      <color theme="1"/>
      <name val="Malgun Gothic"/>
      <scheme val="minor"/>
    </font>
    <font>
      <sz val="11.0"/>
      <color theme="1"/>
      <name val="Malgun Gothic"/>
    </font>
    <font/>
    <font>
      <b/>
      <sz val="30.0"/>
      <color theme="1"/>
      <name val="Malgun Gothic"/>
    </font>
    <font>
      <b/>
      <u/>
      <sz val="25.0"/>
      <color theme="1"/>
      <name val="Malgun Gothic"/>
    </font>
    <font>
      <sz val="10.0"/>
      <color theme="1"/>
      <name val="Malgun Gothic"/>
    </font>
    <font>
      <sz val="12.0"/>
      <color theme="1"/>
      <name val="Malgun Gothic"/>
    </font>
    <font>
      <sz val="8.0"/>
      <color rgb="FF000000"/>
      <name val="Malgun Gothic"/>
    </font>
    <font>
      <sz val="11.0"/>
      <color rgb="FFFF0000"/>
      <name val="Malgun Gothic"/>
    </font>
    <font>
      <b/>
      <i/>
      <u/>
      <sz val="10.0"/>
      <color theme="1"/>
      <name val="Malgun Gothic"/>
    </font>
    <font>
      <sz val="11.0"/>
      <color rgb="FF0000FF"/>
      <name val="Malgun Gothic"/>
    </font>
    <font>
      <b/>
      <i/>
      <u/>
      <sz val="10.0"/>
      <color theme="1"/>
      <name val="Malgun Gothic"/>
    </font>
  </fonts>
  <fills count="8">
    <fill>
      <patternFill patternType="none"/>
    </fill>
    <fill>
      <patternFill patternType="lightGray"/>
    </fill>
    <fill>
      <patternFill patternType="solid">
        <fgColor rgb="FFFF0000"/>
        <bgColor rgb="FFFF0000"/>
      </patternFill>
    </fill>
    <fill>
      <patternFill patternType="solid">
        <fgColor rgb="FF008000"/>
        <bgColor rgb="FF008000"/>
      </patternFill>
    </fill>
    <fill>
      <patternFill patternType="solid">
        <fgColor rgb="FFFFFF00"/>
        <bgColor rgb="FFFFFF00"/>
      </patternFill>
    </fill>
    <fill>
      <patternFill patternType="solid">
        <fgColor rgb="FFBFBFBF"/>
        <bgColor rgb="FFBFBFBF"/>
      </patternFill>
    </fill>
    <fill>
      <patternFill patternType="solid">
        <fgColor rgb="FFFBE4D5"/>
        <bgColor rgb="FFFBE4D5"/>
      </patternFill>
    </fill>
    <fill>
      <patternFill patternType="solid">
        <fgColor theme="0"/>
        <bgColor theme="0"/>
      </patternFill>
    </fill>
  </fills>
  <borders count="39">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left style="thin">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bottom style="medium">
        <color rgb="FF000000"/>
      </bottom>
    </border>
    <border>
      <right style="medium">
        <color rgb="FF000000"/>
      </right>
      <bottom style="medium">
        <color rgb="FF000000"/>
      </bottom>
    </border>
    <border>
      <left style="thin">
        <color rgb="FF000000"/>
      </left>
      <right style="medium">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right style="thin">
        <color rgb="FF000000"/>
      </right>
      <top/>
      <bottom/>
    </border>
    <border>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87">
    <xf borderId="0" fillId="0" fontId="0"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left" shrinkToFit="0" vertical="center" wrapText="0"/>
    </xf>
    <xf borderId="1" fillId="0" fontId="1" numFmtId="0" xfId="0" applyAlignment="1" applyBorder="1" applyFont="1">
      <alignment horizontal="center" shrinkToFit="0" vertical="center" wrapText="0"/>
    </xf>
    <xf borderId="2" fillId="0" fontId="1" numFmtId="0" xfId="0" applyAlignment="1" applyBorder="1" applyFont="1">
      <alignment horizontal="center" shrinkToFit="0" vertical="center" wrapText="0"/>
    </xf>
    <xf borderId="3" fillId="0" fontId="2" numFmtId="0" xfId="0" applyAlignment="1" applyBorder="1" applyFont="1">
      <alignment vertical="center"/>
    </xf>
    <xf borderId="4" fillId="0" fontId="3" numFmtId="0" xfId="0" applyAlignment="1" applyBorder="1" applyFont="1">
      <alignment horizontal="center" shrinkToFit="0" vertical="center" wrapText="0"/>
    </xf>
    <xf borderId="5" fillId="0" fontId="3" numFmtId="0" xfId="0" applyAlignment="1" applyBorder="1" applyFont="1">
      <alignment horizontal="center" shrinkToFit="0" vertical="center" wrapText="0"/>
    </xf>
    <xf borderId="6" fillId="0" fontId="2" numFmtId="0" xfId="0" applyAlignment="1" applyBorder="1" applyFont="1">
      <alignment vertical="center"/>
    </xf>
    <xf borderId="7" fillId="2" fontId="1" numFmtId="0" xfId="0" applyAlignment="1" applyBorder="1" applyFill="1" applyFont="1">
      <alignment horizontal="center" shrinkToFit="0" vertical="center" wrapText="0"/>
    </xf>
    <xf borderId="7" fillId="0" fontId="1" numFmtId="0" xfId="0" applyAlignment="1" applyBorder="1" applyFont="1">
      <alignment horizontal="center" shrinkToFit="0" vertical="center" wrapText="0"/>
    </xf>
    <xf borderId="4" fillId="0" fontId="4" numFmtId="164" xfId="0" applyAlignment="1" applyBorder="1" applyFont="1" applyNumberFormat="1">
      <alignment horizontal="center" shrinkToFit="0" vertical="center" wrapText="0"/>
    </xf>
    <xf borderId="8" fillId="0" fontId="2" numFmtId="0" xfId="0" applyAlignment="1" applyBorder="1" applyFont="1">
      <alignment vertical="center"/>
    </xf>
    <xf borderId="9" fillId="0" fontId="2" numFmtId="0" xfId="0" applyAlignment="1" applyBorder="1" applyFont="1">
      <alignment vertical="center"/>
    </xf>
    <xf borderId="10" fillId="0" fontId="1" numFmtId="0" xfId="0" applyAlignment="1" applyBorder="1" applyFont="1">
      <alignment shrinkToFit="0" vertical="center" wrapText="0"/>
    </xf>
    <xf borderId="9" fillId="0" fontId="5" numFmtId="0" xfId="0" applyAlignment="1" applyBorder="1" applyFont="1">
      <alignment horizontal="left" shrinkToFit="0" vertical="center" wrapText="0"/>
    </xf>
    <xf borderId="11" fillId="0" fontId="1" numFmtId="0" xfId="0" applyAlignment="1" applyBorder="1" applyFont="1">
      <alignment horizontal="center" shrinkToFit="0" vertical="center" wrapText="0"/>
    </xf>
    <xf borderId="12" fillId="0" fontId="1" numFmtId="0" xfId="0" applyAlignment="1" applyBorder="1" applyFont="1">
      <alignment horizontal="center" shrinkToFit="0" vertical="center" wrapText="0"/>
    </xf>
    <xf borderId="13" fillId="0" fontId="2" numFmtId="0" xfId="0" applyAlignment="1" applyBorder="1" applyFont="1">
      <alignment vertical="center"/>
    </xf>
    <xf borderId="14" fillId="0" fontId="2"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7" fillId="3" fontId="1" numFmtId="0" xfId="0" applyAlignment="1" applyBorder="1" applyFill="1" applyFont="1">
      <alignment horizontal="center" shrinkToFit="0" vertical="center" wrapText="0"/>
    </xf>
    <xf borderId="17" fillId="0" fontId="1" numFmtId="0" xfId="0" applyAlignment="1" applyBorder="1" applyFont="1">
      <alignment horizontal="center" shrinkToFit="0" vertical="center" wrapText="0"/>
    </xf>
    <xf borderId="18" fillId="0" fontId="2" numFmtId="0" xfId="0" applyAlignment="1" applyBorder="1" applyFont="1">
      <alignment vertical="center"/>
    </xf>
    <xf borderId="18" fillId="0" fontId="5" numFmtId="0" xfId="0" applyAlignment="1" applyBorder="1" applyFont="1">
      <alignment shrinkToFit="0" vertical="center" wrapText="0"/>
    </xf>
    <xf borderId="19" fillId="0" fontId="1" numFmtId="0" xfId="0" applyAlignment="1" applyBorder="1" applyFont="1">
      <alignment horizontal="center" shrinkToFit="0" vertical="center" wrapText="0"/>
    </xf>
    <xf borderId="20" fillId="0" fontId="1" numFmtId="0" xfId="0" applyAlignment="1" applyBorder="1" applyFont="1">
      <alignment horizontal="center" shrinkToFit="0" vertical="center" wrapText="0"/>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24" fillId="0" fontId="2" numFmtId="0" xfId="0" applyAlignment="1" applyBorder="1" applyFont="1">
      <alignment vertical="center"/>
    </xf>
    <xf borderId="25" fillId="4" fontId="1" numFmtId="0" xfId="0" applyAlignment="1" applyBorder="1" applyFill="1" applyFont="1">
      <alignment horizontal="center" shrinkToFit="0" vertical="center" wrapText="0"/>
    </xf>
    <xf borderId="25" fillId="0" fontId="1" numFmtId="0" xfId="0" applyAlignment="1" applyBorder="1" applyFont="1">
      <alignment horizontal="center" shrinkToFit="0" vertical="center" wrapText="0"/>
    </xf>
    <xf borderId="26" fillId="0" fontId="2" numFmtId="0" xfId="0" applyAlignment="1" applyBorder="1" applyFont="1">
      <alignment vertical="center"/>
    </xf>
    <xf borderId="27" fillId="0" fontId="2" numFmtId="0" xfId="0" applyAlignment="1" applyBorder="1" applyFont="1">
      <alignment vertical="center"/>
    </xf>
    <xf borderId="27" fillId="0" fontId="5" numFmtId="0" xfId="0" applyAlignment="1" applyBorder="1" applyFont="1">
      <alignment shrinkToFit="0" vertical="center" wrapText="0"/>
    </xf>
    <xf borderId="0" fillId="0" fontId="6" numFmtId="0" xfId="0" applyAlignment="1" applyFont="1">
      <alignment shrinkToFit="0" vertical="center" wrapText="0"/>
    </xf>
    <xf borderId="1" fillId="5" fontId="6" numFmtId="0" xfId="0" applyAlignment="1" applyBorder="1" applyFill="1" applyFont="1">
      <alignment horizontal="center" shrinkToFit="0" vertical="center" wrapText="0"/>
    </xf>
    <xf borderId="7" fillId="5" fontId="6" numFmtId="0" xfId="0" applyAlignment="1" applyBorder="1" applyFill="1" applyFont="1">
      <alignment horizontal="center" shrinkToFit="0" vertical="center" wrapText="0"/>
    </xf>
    <xf borderId="28" fillId="5" fontId="6" numFmtId="0" xfId="0" applyAlignment="1" applyBorder="1" applyFill="1" applyFont="1">
      <alignment horizontal="center" shrinkToFit="0" vertical="center" wrapText="0"/>
    </xf>
    <xf borderId="16" fillId="0" fontId="6" numFmtId="0" xfId="0" applyAlignment="1" applyBorder="1" applyFont="1">
      <alignment horizontal="center" shrinkToFit="0" vertical="center" wrapText="0"/>
    </xf>
    <xf borderId="29" fillId="5" fontId="6" numFmtId="0" xfId="0" applyAlignment="1" applyBorder="1" applyFill="1" applyFont="1">
      <alignment horizontal="center" shrinkToFit="0" vertical="center" wrapText="0"/>
    </xf>
    <xf borderId="30" fillId="5" fontId="6" numFmtId="0" xfId="0" applyAlignment="1" applyBorder="1" applyFill="1" applyFont="1">
      <alignment horizontal="center" shrinkToFit="0" vertical="center" wrapText="0"/>
    </xf>
    <xf borderId="31" fillId="5" fontId="6" numFmtId="0" xfId="0" applyAlignment="1" applyBorder="1" applyFill="1" applyFont="1">
      <alignment horizontal="center" shrinkToFit="0" vertical="center" wrapText="0"/>
    </xf>
    <xf borderId="31" fillId="5" fontId="6" numFmtId="0" xfId="0" applyAlignment="1" applyBorder="1" applyFill="1" applyFont="1">
      <alignment horizontal="left" shrinkToFit="0" vertical="center" wrapText="0"/>
    </xf>
    <xf borderId="32" fillId="5" fontId="6" numFmtId="0" xfId="0" applyAlignment="1" applyBorder="1" applyFill="1" applyFont="1">
      <alignment horizontal="center" shrinkToFit="0" vertical="center" wrapText="0"/>
    </xf>
    <xf borderId="33" fillId="5" fontId="6" numFmtId="0" xfId="0" applyAlignment="1" applyBorder="1" applyFill="1" applyFont="1">
      <alignment horizontal="center" shrinkToFit="0" vertical="center" wrapText="0"/>
    </xf>
    <xf borderId="0" fillId="0" fontId="1" numFmtId="0" xfId="0" applyAlignment="1" applyFont="1">
      <alignment shrinkToFit="0" vertical="center" wrapText="0"/>
    </xf>
    <xf borderId="11" fillId="0" fontId="5" numFmtId="0" xfId="0" applyAlignment="1" applyBorder="1" applyFont="1">
      <alignment horizontal="right" shrinkToFit="0" vertical="center" wrapText="0"/>
    </xf>
    <xf borderId="17" fillId="0" fontId="5" numFmtId="0" xfId="0" applyAlignment="1" applyBorder="1" applyFont="1">
      <alignment horizontal="center" shrinkToFit="0" vertical="center" wrapText="0"/>
    </xf>
    <xf borderId="17" fillId="0" fontId="5" numFmtId="0" xfId="0" applyAlignment="1" applyBorder="1" applyFont="1">
      <alignment shrinkToFit="0" vertical="center" wrapText="1"/>
    </xf>
    <xf borderId="17" fillId="0" fontId="7" numFmtId="0" xfId="0" applyAlignment="1" applyBorder="1" applyFont="1">
      <alignment horizontal="left" shrinkToFit="0" vertical="center" wrapText="1"/>
    </xf>
    <xf borderId="17" fillId="0" fontId="5" numFmtId="9" xfId="0" applyAlignment="1" applyBorder="1" applyFont="1" applyNumberFormat="1">
      <alignment horizontal="center" shrinkToFit="0" vertical="center" wrapText="1"/>
    </xf>
    <xf borderId="17" fillId="0" fontId="5" numFmtId="0" xfId="0" applyAlignment="1" applyBorder="1" applyFont="1">
      <alignment horizontal="left" shrinkToFit="0" vertical="center" wrapText="0"/>
    </xf>
    <xf borderId="17" fillId="0" fontId="5" numFmtId="0" xfId="0" applyAlignment="1" applyBorder="1" applyFont="1">
      <alignment shrinkToFit="0" vertical="center" wrapText="0"/>
    </xf>
    <xf borderId="17" fillId="0" fontId="5" numFmtId="1" xfId="0" applyAlignment="1" applyBorder="1" applyFont="1" applyNumberFormat="1">
      <alignment horizontal="center" shrinkToFit="0" vertical="center" wrapText="1"/>
    </xf>
    <xf borderId="17" fillId="0" fontId="7" numFmtId="0" xfId="0" applyAlignment="1" applyBorder="1" applyFont="1">
      <alignment horizontal="center" shrinkToFit="0" vertical="center" wrapText="1"/>
    </xf>
    <xf borderId="17" fillId="0" fontId="5" numFmtId="165" xfId="0" applyAlignment="1" applyBorder="1" applyFont="1" applyNumberFormat="1">
      <alignment horizontal="center" shrinkToFit="0" vertical="center" wrapText="1"/>
    </xf>
    <xf borderId="34" fillId="0" fontId="1" numFmtId="0" xfId="0" applyAlignment="1" applyBorder="1" applyFont="1">
      <alignment horizontal="center" shrinkToFit="0" vertical="center" wrapText="0"/>
    </xf>
    <xf borderId="16" fillId="0" fontId="1" numFmtId="0" xfId="0" applyAlignment="1" applyBorder="1" applyFont="1">
      <alignment horizontal="center" shrinkToFit="0" vertical="center" wrapText="0"/>
    </xf>
    <xf borderId="35" fillId="0" fontId="1" numFmtId="0" xfId="0" applyAlignment="1" applyBorder="1" applyFont="1">
      <alignment horizontal="left" shrinkToFit="0" vertical="center" wrapText="1"/>
    </xf>
    <xf borderId="35" fillId="0" fontId="1" numFmtId="0" xfId="0" applyAlignment="1" applyBorder="1" applyFont="1">
      <alignment horizontal="left" shrinkToFit="0" vertical="center" wrapText="0"/>
    </xf>
    <xf borderId="11" fillId="6" fontId="5" numFmtId="0" xfId="0" applyAlignment="1" applyBorder="1" applyFill="1" applyFont="1">
      <alignment shrinkToFit="0" vertical="center" wrapText="0"/>
    </xf>
    <xf borderId="35" fillId="0" fontId="8" numFmtId="0" xfId="0" applyAlignment="1" applyBorder="1" applyFont="1">
      <alignment horizontal="left" shrinkToFit="0" vertical="center" wrapText="1"/>
    </xf>
    <xf borderId="17" fillId="6" fontId="5" numFmtId="0" xfId="0" applyAlignment="1" applyBorder="1" applyFill="1" applyFont="1">
      <alignment horizontal="center" shrinkToFit="0" vertical="center" wrapText="0"/>
    </xf>
    <xf borderId="17" fillId="6" fontId="5" numFmtId="0" xfId="0" applyAlignment="1" applyBorder="1" applyFill="1" applyFont="1">
      <alignment shrinkToFit="0" vertical="center" wrapText="0"/>
    </xf>
    <xf borderId="17" fillId="6" fontId="5" numFmtId="0" xfId="0" applyAlignment="1" applyBorder="1" applyFill="1" applyFont="1">
      <alignment horizontal="left" shrinkToFit="0" vertical="center" wrapText="0"/>
    </xf>
    <xf borderId="17" fillId="6" fontId="9" numFmtId="165" xfId="0" applyAlignment="1" applyBorder="1" applyFill="1" applyFont="1" applyNumberFormat="1">
      <alignment horizontal="center" shrinkToFit="0" vertical="center" wrapText="1"/>
    </xf>
    <xf borderId="34" fillId="6" fontId="1" numFmtId="0" xfId="0" applyAlignment="1" applyBorder="1" applyFill="1" applyFont="1">
      <alignment horizontal="center" shrinkToFit="0" vertical="center" wrapText="0"/>
    </xf>
    <xf borderId="36" fillId="6" fontId="1" numFmtId="0" xfId="0" applyAlignment="1" applyBorder="1" applyFill="1" applyFont="1">
      <alignment shrinkToFit="0" vertical="center" wrapText="0"/>
    </xf>
    <xf borderId="37" fillId="6" fontId="1" numFmtId="0" xfId="0" applyAlignment="1" applyBorder="1" applyFill="1" applyFont="1">
      <alignment horizontal="left" shrinkToFit="0" vertical="center" wrapText="0"/>
    </xf>
    <xf borderId="11" fillId="0" fontId="5" numFmtId="0" xfId="0" applyAlignment="1" applyBorder="1" applyFont="1">
      <alignment shrinkToFit="0" vertical="center" wrapText="0"/>
    </xf>
    <xf borderId="17" fillId="0" fontId="1" numFmtId="0" xfId="0" applyAlignment="1" applyBorder="1" applyFont="1">
      <alignment shrinkToFit="0" vertical="center" wrapText="1"/>
    </xf>
    <xf borderId="17" fillId="0" fontId="1" numFmtId="0" xfId="0" applyAlignment="1" applyBorder="1" applyFont="1">
      <alignment shrinkToFit="0" vertical="center" wrapText="0"/>
    </xf>
    <xf borderId="17" fillId="0" fontId="1" numFmtId="0" xfId="0" applyAlignment="1" applyBorder="1" applyFont="1">
      <alignment horizontal="center" shrinkToFit="0" vertical="center" wrapText="1"/>
    </xf>
    <xf borderId="35" fillId="0" fontId="10" numFmtId="0" xfId="0" applyAlignment="1" applyBorder="1" applyFont="1">
      <alignment horizontal="left" shrinkToFit="0" vertical="center" wrapText="1"/>
    </xf>
    <xf borderId="11" fillId="0" fontId="1" numFmtId="0" xfId="0" applyAlignment="1" applyBorder="1" applyFont="1">
      <alignment shrinkToFit="0" vertical="center" wrapText="0"/>
    </xf>
    <xf borderId="17" fillId="0" fontId="1" numFmtId="0" xfId="0" applyAlignment="1" applyBorder="1" applyFont="1">
      <alignment horizontal="left" shrinkToFit="0" vertical="center" wrapText="0"/>
    </xf>
    <xf borderId="19" fillId="6" fontId="5" numFmtId="0" xfId="0" applyAlignment="1" applyBorder="1" applyFill="1" applyFont="1">
      <alignment shrinkToFit="0" vertical="center" wrapText="0"/>
    </xf>
    <xf borderId="25" fillId="6" fontId="5" numFmtId="0" xfId="0" applyAlignment="1" applyBorder="1" applyFill="1" applyFont="1">
      <alignment horizontal="center" shrinkToFit="0" vertical="center" wrapText="0"/>
    </xf>
    <xf borderId="25" fillId="6" fontId="5" numFmtId="0" xfId="0" applyAlignment="1" applyBorder="1" applyFill="1" applyFont="1">
      <alignment horizontal="left" shrinkToFit="0" vertical="center" wrapText="0"/>
    </xf>
    <xf borderId="25" fillId="6" fontId="5" numFmtId="0" xfId="0" applyAlignment="1" applyBorder="1" applyFill="1" applyFont="1">
      <alignment shrinkToFit="0" vertical="center" wrapText="0"/>
    </xf>
    <xf borderId="25" fillId="0" fontId="11" numFmtId="165" xfId="0" applyAlignment="1" applyBorder="1" applyFont="1" applyNumberFormat="1">
      <alignment horizontal="center" shrinkToFit="0" vertical="center" wrapText="1"/>
    </xf>
    <xf borderId="38" fillId="0" fontId="1" numFmtId="0" xfId="0" applyAlignment="1" applyBorder="1" applyFont="1">
      <alignment horizontal="center" shrinkToFit="0" vertical="center" wrapText="0"/>
    </xf>
    <xf borderId="36" fillId="7" fontId="1" numFmtId="0" xfId="0" applyAlignment="1" applyBorder="1" applyFill="1" applyFont="1">
      <alignment shrinkToFit="0" vertical="center" wrapText="0"/>
    </xf>
    <xf borderId="37" fillId="7" fontId="1" numFmtId="0" xfId="0" applyAlignment="1" applyBorder="1" applyFill="1" applyFont="1">
      <alignment horizontal="left" shrinkToFit="0" vertical="center" wrapText="0"/>
    </xf>
  </cellXfs>
  <cellStyles count="1">
    <cellStyle xfId="0" name="Normal" builtinId="0"/>
  </cellStyles>
  <dxfs count="4">
    <dxf>
      <font/>
      <fill>
        <patternFill patternType="solid">
          <fgColor rgb="FFFF0000"/>
          <bgColor rgb="FFFF0000"/>
        </patternFill>
      </fill>
      <border/>
    </dxf>
    <dxf>
      <font/>
      <fill>
        <patternFill patternType="solid">
          <fgColor rgb="FFFFFF00"/>
          <bgColor rgb="FFFFFF00"/>
        </patternFill>
      </fill>
      <border/>
    </dxf>
    <dxf>
      <font>
        <color rgb="FFFFFF00"/>
      </font>
      <fill>
        <patternFill patternType="solid">
          <fgColor rgb="FF008000"/>
          <bgColor rgb="FF008000"/>
        </patternFill>
      </fill>
      <border/>
    </dxf>
    <dxf>
      <font>
        <color theme="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238125</xdr:colOff>
      <xdr:row>1</xdr:row>
      <xdr:rowOff>47625</xdr:rowOff>
    </xdr:from>
    <xdr:ext cx="2705100"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1</xdr:row>
      <xdr:rowOff>47625</xdr:rowOff>
    </xdr:from>
    <xdr:ext cx="2705100"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2.63" defaultRowHeight="15.0" outlineLevelCol="2"/>
  <cols>
    <col customWidth="1" min="1" max="1" width="2.13"/>
    <col customWidth="1" min="2" max="2" width="10.13" outlineLevel="2"/>
    <col customWidth="1" min="3" max="3" width="25.5" outlineLevel="2"/>
    <col customWidth="1" min="4" max="4" width="11.13" outlineLevel="2"/>
    <col customWidth="1" min="5" max="5" width="107.63" outlineLevel="1"/>
    <col customWidth="1" min="6" max="6" width="41.63" outlineLevel="1"/>
    <col customWidth="1" hidden="1" min="7" max="7" width="6.88" outlineLevel="2"/>
    <col customWidth="1" min="8" max="8" width="10.13" outlineLevel="1"/>
    <col customWidth="1" min="9" max="9" width="17.0" outlineLevel="1"/>
    <col customWidth="1" min="10" max="10" width="13.38" outlineLevel="1"/>
    <col customWidth="1" min="11" max="11" width="0.88"/>
    <col customWidth="1" min="12" max="12" width="77.13"/>
    <col customWidth="1" min="13" max="26" width="10.0"/>
  </cols>
  <sheetData>
    <row r="1" ht="27.0" customHeight="1">
      <c r="C1" s="2"/>
      <c r="D1" s="1"/>
    </row>
    <row r="2" ht="27.0" customHeight="1">
      <c r="B2" s="3" t="s">
        <v>0</v>
      </c>
      <c r="C2" s="4"/>
      <c r="D2" s="5"/>
      <c r="E2" s="7" t="s">
        <v>1</v>
      </c>
      <c r="F2" s="9" t="s">
        <v>2</v>
      </c>
      <c r="G2" s="10">
        <f>COUNTIF(H8:H41,"H")</f>
        <v>0</v>
      </c>
      <c r="H2" s="11"/>
      <c r="I2" s="12"/>
      <c r="J2" s="13"/>
      <c r="K2" s="14"/>
      <c r="L2" s="15" t="s">
        <v>4</v>
      </c>
    </row>
    <row r="3" ht="27.0" customHeight="1">
      <c r="B3" s="16" t="s">
        <v>5</v>
      </c>
      <c r="C3" s="17"/>
      <c r="D3" s="18"/>
      <c r="E3" s="20"/>
      <c r="F3" s="22" t="s">
        <v>6</v>
      </c>
      <c r="G3" s="23">
        <f>COUNTIF(H8:H41,"M")</f>
        <v>0</v>
      </c>
      <c r="H3" s="19"/>
      <c r="J3" s="24"/>
      <c r="K3" s="14"/>
      <c r="L3" s="25" t="s">
        <v>8</v>
      </c>
    </row>
    <row r="4" ht="27.0" customHeight="1">
      <c r="B4" s="26" t="s">
        <v>9</v>
      </c>
      <c r="C4" s="27"/>
      <c r="D4" s="28"/>
      <c r="E4" s="30"/>
      <c r="F4" s="32" t="s">
        <v>10</v>
      </c>
      <c r="G4" s="33">
        <f>COUNTIF(H8:H41,"L")</f>
        <v>29</v>
      </c>
      <c r="H4" s="29"/>
      <c r="I4" s="34"/>
      <c r="J4" s="35"/>
      <c r="K4" s="14"/>
      <c r="L4" s="36" t="s">
        <v>12</v>
      </c>
    </row>
    <row r="5" ht="27.0" customHeight="1">
      <c r="C5" s="2"/>
      <c r="D5" s="1"/>
    </row>
    <row r="6" ht="27.0" customHeight="1">
      <c r="A6" s="37"/>
      <c r="B6" s="38" t="s">
        <v>13</v>
      </c>
      <c r="C6" s="39" t="s">
        <v>14</v>
      </c>
      <c r="D6" s="39" t="s">
        <v>15</v>
      </c>
      <c r="E6" s="39" t="s">
        <v>22</v>
      </c>
      <c r="F6" s="39" t="s">
        <v>18</v>
      </c>
      <c r="G6" s="39" t="s">
        <v>19</v>
      </c>
      <c r="H6" s="39" t="s">
        <v>20</v>
      </c>
      <c r="I6" s="39" t="s">
        <v>21</v>
      </c>
      <c r="J6" s="40" t="s">
        <v>23</v>
      </c>
      <c r="K6" s="41"/>
      <c r="L6" s="42" t="s">
        <v>24</v>
      </c>
      <c r="M6" s="37"/>
      <c r="N6" s="37"/>
      <c r="O6" s="37"/>
      <c r="P6" s="37"/>
      <c r="Q6" s="37"/>
      <c r="R6" s="37"/>
      <c r="S6" s="37"/>
      <c r="T6" s="37"/>
      <c r="U6" s="37"/>
      <c r="V6" s="37"/>
      <c r="W6" s="37"/>
      <c r="X6" s="37"/>
      <c r="Y6" s="37"/>
      <c r="Z6" s="37"/>
    </row>
    <row r="7" ht="27.0" customHeight="1">
      <c r="A7" s="37"/>
      <c r="B7" s="43"/>
      <c r="C7" s="45"/>
      <c r="D7" s="44"/>
      <c r="E7" s="44"/>
      <c r="F7" s="44"/>
      <c r="G7" s="44"/>
      <c r="H7" s="44"/>
      <c r="I7" s="44"/>
      <c r="J7" s="46"/>
      <c r="K7" s="41"/>
      <c r="L7" s="47"/>
      <c r="M7" s="37"/>
      <c r="N7" s="37"/>
      <c r="O7" s="37"/>
      <c r="P7" s="37"/>
      <c r="Q7" s="37"/>
      <c r="R7" s="37"/>
      <c r="S7" s="37"/>
      <c r="T7" s="37"/>
      <c r="U7" s="37"/>
      <c r="V7" s="37"/>
      <c r="W7" s="37"/>
      <c r="X7" s="37"/>
      <c r="Y7" s="37"/>
      <c r="Z7" s="37"/>
    </row>
    <row r="8" ht="27.0" customHeight="1">
      <c r="A8" s="48"/>
      <c r="B8" s="49">
        <v>1.1</v>
      </c>
      <c r="C8" s="54" t="s">
        <v>30</v>
      </c>
      <c r="D8" s="50" t="s">
        <v>31</v>
      </c>
      <c r="E8" s="55" t="s">
        <v>32</v>
      </c>
      <c r="F8" s="57" t="s">
        <v>34</v>
      </c>
      <c r="G8" s="53">
        <v>0.5</v>
      </c>
      <c r="H8" s="56" t="s">
        <v>33</v>
      </c>
      <c r="I8" s="58">
        <f t="shared" ref="I8:I11" si="1">IF(H8="H",1*G8,IF(H8="M",5*G8,IF(H8="L",10*G8)))</f>
        <v>5</v>
      </c>
      <c r="J8" s="59"/>
      <c r="K8" s="60"/>
      <c r="L8" s="61"/>
      <c r="M8" s="48"/>
      <c r="N8" s="48"/>
      <c r="O8" s="48"/>
      <c r="P8" s="48"/>
      <c r="Q8" s="48"/>
      <c r="R8" s="48"/>
      <c r="S8" s="48"/>
      <c r="T8" s="48"/>
      <c r="U8" s="48"/>
      <c r="V8" s="48"/>
      <c r="W8" s="48"/>
      <c r="X8" s="48"/>
      <c r="Y8" s="48"/>
      <c r="Z8" s="48"/>
    </row>
    <row r="9" ht="27.0" customHeight="1">
      <c r="A9" s="48"/>
      <c r="B9" s="49">
        <v>1.2</v>
      </c>
      <c r="C9" s="54" t="s">
        <v>41</v>
      </c>
      <c r="D9" s="50" t="s">
        <v>31</v>
      </c>
      <c r="E9" s="51" t="s">
        <v>45</v>
      </c>
      <c r="F9" s="57" t="s">
        <v>46</v>
      </c>
      <c r="G9" s="53">
        <v>0.5</v>
      </c>
      <c r="H9" s="56" t="s">
        <v>33</v>
      </c>
      <c r="I9" s="58">
        <f t="shared" si="1"/>
        <v>5</v>
      </c>
      <c r="J9" s="59"/>
      <c r="K9" s="60"/>
      <c r="L9" s="62"/>
      <c r="M9" s="48"/>
      <c r="N9" s="48"/>
      <c r="O9" s="48"/>
      <c r="P9" s="48"/>
      <c r="Q9" s="48"/>
      <c r="R9" s="48"/>
      <c r="S9" s="48"/>
      <c r="T9" s="48"/>
      <c r="U9" s="48"/>
      <c r="V9" s="48"/>
      <c r="W9" s="48"/>
      <c r="X9" s="48"/>
      <c r="Y9" s="48"/>
      <c r="Z9" s="48"/>
    </row>
    <row r="10" ht="27.0" customHeight="1">
      <c r="A10" s="48"/>
      <c r="B10" s="49">
        <v>1.3</v>
      </c>
      <c r="C10" s="54" t="s">
        <v>30</v>
      </c>
      <c r="D10" s="50" t="s">
        <v>31</v>
      </c>
      <c r="E10" s="51" t="s">
        <v>53</v>
      </c>
      <c r="F10" s="57" t="s">
        <v>54</v>
      </c>
      <c r="G10" s="53">
        <v>0.5</v>
      </c>
      <c r="H10" s="56" t="s">
        <v>33</v>
      </c>
      <c r="I10" s="58">
        <f t="shared" si="1"/>
        <v>5</v>
      </c>
      <c r="J10" s="59"/>
      <c r="K10" s="60"/>
      <c r="L10" s="61"/>
      <c r="M10" s="48"/>
      <c r="N10" s="48"/>
      <c r="O10" s="48"/>
      <c r="P10" s="48"/>
      <c r="Q10" s="48"/>
      <c r="R10" s="48"/>
      <c r="S10" s="48"/>
      <c r="T10" s="48"/>
      <c r="U10" s="48"/>
      <c r="V10" s="48"/>
      <c r="W10" s="48"/>
      <c r="X10" s="48"/>
      <c r="Y10" s="48"/>
      <c r="Z10" s="48"/>
    </row>
    <row r="11" ht="27.0" customHeight="1">
      <c r="A11" s="48"/>
      <c r="B11" s="49">
        <v>1.4</v>
      </c>
      <c r="C11" s="54" t="s">
        <v>61</v>
      </c>
      <c r="D11" s="50" t="s">
        <v>31</v>
      </c>
      <c r="E11" s="51" t="s">
        <v>62</v>
      </c>
      <c r="F11" s="57" t="s">
        <v>64</v>
      </c>
      <c r="G11" s="53">
        <v>0.5</v>
      </c>
      <c r="H11" s="56" t="s">
        <v>33</v>
      </c>
      <c r="I11" s="58">
        <f t="shared" si="1"/>
        <v>5</v>
      </c>
      <c r="J11" s="59"/>
      <c r="K11" s="60"/>
      <c r="L11" s="64"/>
      <c r="M11" s="48"/>
      <c r="N11" s="48"/>
      <c r="O11" s="48"/>
      <c r="P11" s="48"/>
      <c r="Q11" s="48"/>
      <c r="R11" s="48"/>
      <c r="S11" s="48"/>
      <c r="T11" s="48"/>
      <c r="U11" s="48"/>
      <c r="V11" s="48"/>
      <c r="W11" s="48"/>
      <c r="X11" s="48"/>
      <c r="Y11" s="48"/>
      <c r="Z11" s="48"/>
    </row>
    <row r="12" ht="27.0" customHeight="1">
      <c r="A12" s="48"/>
      <c r="B12" s="63"/>
      <c r="C12" s="67"/>
      <c r="D12" s="65"/>
      <c r="E12" s="66"/>
      <c r="F12" s="66"/>
      <c r="G12" s="66"/>
      <c r="H12" s="66"/>
      <c r="I12" s="68">
        <f>SUM(I8:I11)</f>
        <v>20</v>
      </c>
      <c r="J12" s="69"/>
      <c r="K12" s="70"/>
      <c r="L12" s="71"/>
      <c r="M12" s="48"/>
      <c r="N12" s="48"/>
      <c r="O12" s="48"/>
      <c r="P12" s="48"/>
      <c r="Q12" s="48"/>
      <c r="R12" s="48"/>
      <c r="S12" s="48"/>
      <c r="T12" s="48"/>
      <c r="U12" s="48"/>
      <c r="V12" s="48"/>
      <c r="W12" s="48"/>
      <c r="X12" s="48"/>
      <c r="Y12" s="48"/>
      <c r="Z12" s="48"/>
    </row>
    <row r="13" ht="27.0" customHeight="1">
      <c r="A13" s="48"/>
      <c r="B13" s="72">
        <v>2.1</v>
      </c>
      <c r="C13" s="54" t="s">
        <v>72</v>
      </c>
      <c r="D13" s="50" t="s">
        <v>73</v>
      </c>
      <c r="E13" s="51" t="s">
        <v>74</v>
      </c>
      <c r="F13" s="57" t="s">
        <v>75</v>
      </c>
      <c r="G13" s="53">
        <v>0.5</v>
      </c>
      <c r="H13" s="56" t="s">
        <v>33</v>
      </c>
      <c r="I13" s="58">
        <f t="shared" ref="I13:I23" si="2">IF(H13="H",1*G13,IF(H13="M",5*G13,IF(H13="L",10*G13)))</f>
        <v>5</v>
      </c>
      <c r="J13" s="59"/>
      <c r="K13" s="60"/>
      <c r="L13" s="61"/>
      <c r="M13" s="48"/>
      <c r="N13" s="48"/>
      <c r="O13" s="48"/>
      <c r="P13" s="48"/>
      <c r="Q13" s="48"/>
      <c r="R13" s="48"/>
      <c r="S13" s="48"/>
      <c r="T13" s="48"/>
      <c r="U13" s="48"/>
      <c r="V13" s="48"/>
      <c r="W13" s="48"/>
      <c r="X13" s="48"/>
      <c r="Y13" s="48"/>
      <c r="Z13" s="48"/>
    </row>
    <row r="14" ht="27.0" customHeight="1">
      <c r="A14" s="48"/>
      <c r="B14" s="72">
        <v>2.2</v>
      </c>
      <c r="C14" s="54" t="s">
        <v>83</v>
      </c>
      <c r="D14" s="50" t="s">
        <v>73</v>
      </c>
      <c r="E14" s="51" t="s">
        <v>84</v>
      </c>
      <c r="F14" s="57" t="s">
        <v>85</v>
      </c>
      <c r="G14" s="53">
        <v>0.5</v>
      </c>
      <c r="H14" s="56" t="s">
        <v>33</v>
      </c>
      <c r="I14" s="58">
        <f t="shared" si="2"/>
        <v>5</v>
      </c>
      <c r="J14" s="59"/>
      <c r="K14" s="60"/>
      <c r="L14" s="61"/>
      <c r="M14" s="48"/>
      <c r="N14" s="48"/>
      <c r="O14" s="48"/>
      <c r="P14" s="48"/>
      <c r="Q14" s="48"/>
      <c r="R14" s="48"/>
      <c r="S14" s="48"/>
      <c r="T14" s="48"/>
      <c r="U14" s="48"/>
      <c r="V14" s="48"/>
      <c r="W14" s="48"/>
      <c r="X14" s="48"/>
      <c r="Y14" s="48"/>
      <c r="Z14" s="48"/>
    </row>
    <row r="15" ht="27.0" customHeight="1">
      <c r="A15" s="48"/>
      <c r="B15" s="72">
        <v>2.3</v>
      </c>
      <c r="C15" s="54" t="s">
        <v>30</v>
      </c>
      <c r="D15" s="50" t="s">
        <v>73</v>
      </c>
      <c r="E15" s="51" t="s">
        <v>89</v>
      </c>
      <c r="F15" s="57" t="s">
        <v>90</v>
      </c>
      <c r="G15" s="53">
        <v>0.5</v>
      </c>
      <c r="H15" s="56" t="s">
        <v>33</v>
      </c>
      <c r="I15" s="58">
        <f t="shared" si="2"/>
        <v>5</v>
      </c>
      <c r="J15" s="59"/>
      <c r="K15" s="60"/>
      <c r="L15" s="62"/>
      <c r="M15" s="48"/>
      <c r="N15" s="48"/>
      <c r="O15" s="48"/>
      <c r="P15" s="48"/>
      <c r="Q15" s="48"/>
      <c r="R15" s="48"/>
      <c r="S15" s="48"/>
      <c r="T15" s="48"/>
      <c r="U15" s="48"/>
      <c r="V15" s="48"/>
      <c r="W15" s="48"/>
      <c r="X15" s="48"/>
      <c r="Y15" s="48"/>
      <c r="Z15" s="48"/>
    </row>
    <row r="16" ht="27.0" customHeight="1">
      <c r="A16" s="48"/>
      <c r="B16" s="72">
        <v>2.4</v>
      </c>
      <c r="C16" s="54" t="s">
        <v>30</v>
      </c>
      <c r="D16" s="50" t="s">
        <v>73</v>
      </c>
      <c r="E16" s="55" t="s">
        <v>91</v>
      </c>
      <c r="F16" s="57" t="s">
        <v>90</v>
      </c>
      <c r="G16" s="53">
        <v>0.5</v>
      </c>
      <c r="H16" s="56" t="s">
        <v>33</v>
      </c>
      <c r="I16" s="58">
        <f t="shared" si="2"/>
        <v>5</v>
      </c>
      <c r="J16" s="59"/>
      <c r="K16" s="60"/>
      <c r="L16" s="61"/>
      <c r="M16" s="48"/>
      <c r="N16" s="48"/>
      <c r="O16" s="48"/>
      <c r="P16" s="48"/>
      <c r="Q16" s="48"/>
      <c r="R16" s="48"/>
      <c r="S16" s="48"/>
      <c r="T16" s="48"/>
      <c r="U16" s="48"/>
      <c r="V16" s="48"/>
      <c r="W16" s="48"/>
      <c r="X16" s="48"/>
      <c r="Y16" s="48"/>
      <c r="Z16" s="48"/>
    </row>
    <row r="17" ht="27.0" customHeight="1">
      <c r="A17" s="48"/>
      <c r="B17" s="72">
        <v>2.5</v>
      </c>
      <c r="C17" s="54" t="s">
        <v>30</v>
      </c>
      <c r="D17" s="50" t="s">
        <v>73</v>
      </c>
      <c r="E17" s="55" t="s">
        <v>97</v>
      </c>
      <c r="F17" s="57" t="s">
        <v>98</v>
      </c>
      <c r="G17" s="53">
        <v>0.5</v>
      </c>
      <c r="H17" s="56" t="s">
        <v>33</v>
      </c>
      <c r="I17" s="58">
        <f t="shared" si="2"/>
        <v>5</v>
      </c>
      <c r="J17" s="59"/>
      <c r="K17" s="60"/>
      <c r="L17" s="61"/>
      <c r="M17" s="48"/>
      <c r="N17" s="48"/>
      <c r="O17" s="48"/>
      <c r="P17" s="48"/>
      <c r="Q17" s="48"/>
      <c r="R17" s="48"/>
      <c r="S17" s="48"/>
      <c r="T17" s="48"/>
      <c r="U17" s="48"/>
      <c r="V17" s="48"/>
      <c r="W17" s="48"/>
      <c r="X17" s="48"/>
      <c r="Y17" s="48"/>
      <c r="Z17" s="48"/>
    </row>
    <row r="18" ht="27.0" customHeight="1">
      <c r="A18" s="48"/>
      <c r="B18" s="72">
        <v>2.6</v>
      </c>
      <c r="C18" s="54" t="s">
        <v>99</v>
      </c>
      <c r="D18" s="50" t="s">
        <v>73</v>
      </c>
      <c r="E18" s="55" t="s">
        <v>100</v>
      </c>
      <c r="F18" s="57" t="s">
        <v>101</v>
      </c>
      <c r="G18" s="53">
        <v>1.5</v>
      </c>
      <c r="H18" s="56" t="s">
        <v>33</v>
      </c>
      <c r="I18" s="58">
        <f t="shared" si="2"/>
        <v>15</v>
      </c>
      <c r="J18" s="59"/>
      <c r="K18" s="60"/>
      <c r="L18" s="61"/>
      <c r="M18" s="48"/>
      <c r="N18" s="48"/>
      <c r="O18" s="48"/>
      <c r="P18" s="48"/>
      <c r="Q18" s="48"/>
      <c r="R18" s="48"/>
      <c r="S18" s="48"/>
      <c r="T18" s="48"/>
      <c r="U18" s="48"/>
      <c r="V18" s="48"/>
      <c r="W18" s="48"/>
      <c r="X18" s="48"/>
      <c r="Y18" s="48"/>
      <c r="Z18" s="48"/>
    </row>
    <row r="19" ht="27.0" customHeight="1">
      <c r="A19" s="48"/>
      <c r="B19" s="72">
        <v>2.7</v>
      </c>
      <c r="C19" s="54" t="s">
        <v>30</v>
      </c>
      <c r="D19" s="50" t="s">
        <v>73</v>
      </c>
      <c r="E19" s="55" t="s">
        <v>105</v>
      </c>
      <c r="F19" s="57" t="s">
        <v>106</v>
      </c>
      <c r="G19" s="53">
        <v>1.5</v>
      </c>
      <c r="H19" s="56" t="s">
        <v>33</v>
      </c>
      <c r="I19" s="58">
        <f t="shared" si="2"/>
        <v>15</v>
      </c>
      <c r="J19" s="59"/>
      <c r="K19" s="60"/>
      <c r="L19" s="64"/>
      <c r="M19" s="48"/>
      <c r="N19" s="48"/>
      <c r="O19" s="48"/>
      <c r="P19" s="48"/>
      <c r="Q19" s="48"/>
      <c r="R19" s="48"/>
      <c r="S19" s="48"/>
      <c r="T19" s="48"/>
      <c r="U19" s="48"/>
      <c r="V19" s="48"/>
      <c r="W19" s="48"/>
      <c r="X19" s="48"/>
      <c r="Y19" s="48"/>
      <c r="Z19" s="48"/>
    </row>
    <row r="20" ht="27.0" customHeight="1">
      <c r="A20" s="48"/>
      <c r="B20" s="72">
        <v>2.8</v>
      </c>
      <c r="C20" s="54" t="s">
        <v>99</v>
      </c>
      <c r="D20" s="50" t="s">
        <v>73</v>
      </c>
      <c r="E20" s="55" t="s">
        <v>110</v>
      </c>
      <c r="F20" s="57" t="s">
        <v>101</v>
      </c>
      <c r="G20" s="53">
        <v>1.5</v>
      </c>
      <c r="H20" s="56" t="s">
        <v>33</v>
      </c>
      <c r="I20" s="58">
        <f t="shared" si="2"/>
        <v>15</v>
      </c>
      <c r="J20" s="59"/>
      <c r="K20" s="60"/>
      <c r="L20" s="64"/>
      <c r="M20" s="48"/>
      <c r="N20" s="48"/>
      <c r="O20" s="48"/>
      <c r="P20" s="48"/>
      <c r="Q20" s="48"/>
      <c r="R20" s="48"/>
      <c r="S20" s="48"/>
      <c r="T20" s="48"/>
      <c r="U20" s="48"/>
      <c r="V20" s="48"/>
      <c r="W20" s="48"/>
      <c r="X20" s="48"/>
      <c r="Y20" s="48"/>
      <c r="Z20" s="48"/>
    </row>
    <row r="21" ht="27.0" customHeight="1">
      <c r="A21" s="48"/>
      <c r="B21" s="72">
        <v>2.9</v>
      </c>
      <c r="C21" s="54" t="s">
        <v>30</v>
      </c>
      <c r="D21" s="50" t="s">
        <v>73</v>
      </c>
      <c r="E21" s="74" t="s">
        <v>111</v>
      </c>
      <c r="F21" s="57" t="s">
        <v>116</v>
      </c>
      <c r="G21" s="53">
        <v>1.5</v>
      </c>
      <c r="H21" s="56" t="s">
        <v>33</v>
      </c>
      <c r="I21" s="58">
        <f t="shared" si="2"/>
        <v>15</v>
      </c>
      <c r="J21" s="59"/>
      <c r="K21" s="60"/>
      <c r="L21" s="64"/>
      <c r="M21" s="48"/>
      <c r="N21" s="48"/>
      <c r="O21" s="48"/>
      <c r="P21" s="48"/>
      <c r="Q21" s="48"/>
      <c r="R21" s="48"/>
      <c r="S21" s="48"/>
      <c r="T21" s="48"/>
      <c r="U21" s="48"/>
      <c r="V21" s="48"/>
      <c r="W21" s="48"/>
      <c r="X21" s="48"/>
      <c r="Y21" s="48"/>
      <c r="Z21" s="48"/>
    </row>
    <row r="22" ht="27.0" customHeight="1">
      <c r="A22" s="48"/>
      <c r="B22" s="49" t="s">
        <v>117</v>
      </c>
      <c r="C22" s="54" t="s">
        <v>30</v>
      </c>
      <c r="D22" s="50" t="s">
        <v>73</v>
      </c>
      <c r="E22" s="74" t="s">
        <v>118</v>
      </c>
      <c r="F22" s="57" t="s">
        <v>119</v>
      </c>
      <c r="G22" s="53">
        <v>1.5</v>
      </c>
      <c r="H22" s="56" t="s">
        <v>33</v>
      </c>
      <c r="I22" s="58">
        <f t="shared" si="2"/>
        <v>15</v>
      </c>
      <c r="J22" s="59"/>
      <c r="K22" s="60"/>
      <c r="L22" s="61"/>
      <c r="M22" s="48"/>
      <c r="N22" s="48"/>
      <c r="O22" s="48"/>
      <c r="P22" s="48"/>
      <c r="Q22" s="48"/>
      <c r="R22" s="48"/>
      <c r="S22" s="48"/>
      <c r="T22" s="48"/>
      <c r="U22" s="48"/>
      <c r="V22" s="48"/>
      <c r="W22" s="48"/>
      <c r="X22" s="48"/>
      <c r="Y22" s="48"/>
      <c r="Z22" s="48"/>
    </row>
    <row r="23" ht="27.0" customHeight="1">
      <c r="A23" s="48"/>
      <c r="B23" s="49">
        <v>2.11</v>
      </c>
      <c r="C23" s="54" t="s">
        <v>30</v>
      </c>
      <c r="D23" s="50" t="s">
        <v>73</v>
      </c>
      <c r="E23" s="74" t="s">
        <v>123</v>
      </c>
      <c r="F23" s="57" t="s">
        <v>119</v>
      </c>
      <c r="G23" s="53">
        <v>1.5</v>
      </c>
      <c r="H23" s="56" t="s">
        <v>33</v>
      </c>
      <c r="I23" s="58">
        <f t="shared" si="2"/>
        <v>15</v>
      </c>
      <c r="J23" s="59"/>
      <c r="K23" s="60"/>
      <c r="L23" s="61"/>
      <c r="M23" s="48"/>
      <c r="N23" s="48"/>
      <c r="O23" s="48"/>
      <c r="P23" s="48"/>
      <c r="Q23" s="48"/>
      <c r="R23" s="48"/>
      <c r="S23" s="48"/>
      <c r="T23" s="48"/>
      <c r="U23" s="48"/>
      <c r="V23" s="48"/>
      <c r="W23" s="48"/>
      <c r="X23" s="48"/>
      <c r="Y23" s="48"/>
      <c r="Z23" s="48"/>
    </row>
    <row r="24" ht="27.0" customHeight="1">
      <c r="A24" s="48"/>
      <c r="B24" s="63"/>
      <c r="C24" s="67"/>
      <c r="D24" s="65"/>
      <c r="E24" s="66"/>
      <c r="F24" s="66"/>
      <c r="G24" s="66"/>
      <c r="H24" s="66"/>
      <c r="I24" s="68">
        <f>SUM(I13:I23)</f>
        <v>115</v>
      </c>
      <c r="J24" s="69"/>
      <c r="K24" s="70"/>
      <c r="L24" s="71"/>
      <c r="M24" s="48"/>
      <c r="N24" s="48"/>
      <c r="O24" s="48"/>
      <c r="P24" s="48"/>
      <c r="Q24" s="48"/>
      <c r="R24" s="48"/>
      <c r="S24" s="48"/>
      <c r="T24" s="48"/>
      <c r="U24" s="48"/>
      <c r="V24" s="48"/>
      <c r="W24" s="48"/>
      <c r="X24" s="48"/>
      <c r="Y24" s="48"/>
      <c r="Z24" s="48"/>
    </row>
    <row r="25" ht="27.0" customHeight="1">
      <c r="A25" s="48"/>
      <c r="B25" s="72">
        <v>3.1</v>
      </c>
      <c r="C25" s="54" t="s">
        <v>129</v>
      </c>
      <c r="D25" s="23" t="s">
        <v>130</v>
      </c>
      <c r="E25" s="73" t="s">
        <v>131</v>
      </c>
      <c r="F25" s="57" t="s">
        <v>132</v>
      </c>
      <c r="G25" s="53">
        <v>1.0</v>
      </c>
      <c r="H25" s="56" t="s">
        <v>33</v>
      </c>
      <c r="I25" s="58">
        <f t="shared" ref="I25:I27" si="3">IF(H25="H",1*G25,IF(H25="M",5*G25,IF(H25="L",10*G25)))</f>
        <v>10</v>
      </c>
      <c r="J25" s="59"/>
      <c r="K25" s="60"/>
      <c r="L25" s="62"/>
      <c r="M25" s="48"/>
      <c r="N25" s="48"/>
      <c r="O25" s="48"/>
      <c r="P25" s="48"/>
      <c r="Q25" s="48"/>
      <c r="R25" s="48"/>
      <c r="S25" s="48"/>
      <c r="T25" s="48"/>
      <c r="U25" s="48"/>
      <c r="V25" s="48"/>
      <c r="W25" s="48"/>
      <c r="X25" s="48"/>
      <c r="Y25" s="48"/>
      <c r="Z25" s="48"/>
    </row>
    <row r="26" ht="27.0" customHeight="1">
      <c r="A26" s="48"/>
      <c r="B26" s="72">
        <v>3.2</v>
      </c>
      <c r="C26" s="54" t="s">
        <v>129</v>
      </c>
      <c r="D26" s="23" t="s">
        <v>130</v>
      </c>
      <c r="E26" s="73" t="s">
        <v>138</v>
      </c>
      <c r="F26" s="57" t="s">
        <v>139</v>
      </c>
      <c r="G26" s="53">
        <v>0.5</v>
      </c>
      <c r="H26" s="56" t="s">
        <v>33</v>
      </c>
      <c r="I26" s="58">
        <f t="shared" si="3"/>
        <v>5</v>
      </c>
      <c r="J26" s="59"/>
      <c r="K26" s="60"/>
      <c r="L26" s="62"/>
      <c r="M26" s="48"/>
      <c r="N26" s="48"/>
      <c r="O26" s="48"/>
      <c r="P26" s="48"/>
      <c r="Q26" s="48"/>
      <c r="R26" s="48"/>
      <c r="S26" s="48"/>
      <c r="T26" s="48"/>
      <c r="U26" s="48"/>
      <c r="V26" s="48"/>
      <c r="W26" s="48"/>
      <c r="X26" s="48"/>
      <c r="Y26" s="48"/>
      <c r="Z26" s="48"/>
    </row>
    <row r="27" ht="27.0" customHeight="1">
      <c r="A27" s="48"/>
      <c r="B27" s="72">
        <v>3.3</v>
      </c>
      <c r="C27" s="54" t="s">
        <v>129</v>
      </c>
      <c r="D27" s="23" t="s">
        <v>130</v>
      </c>
      <c r="E27" s="73" t="s">
        <v>142</v>
      </c>
      <c r="F27" s="57" t="s">
        <v>143</v>
      </c>
      <c r="G27" s="53">
        <v>0.5</v>
      </c>
      <c r="H27" s="56" t="s">
        <v>33</v>
      </c>
      <c r="I27" s="58">
        <f t="shared" si="3"/>
        <v>5</v>
      </c>
      <c r="J27" s="59"/>
      <c r="K27" s="60"/>
      <c r="L27" s="62"/>
      <c r="M27" s="48"/>
      <c r="N27" s="48"/>
      <c r="O27" s="48"/>
      <c r="P27" s="48"/>
      <c r="Q27" s="48"/>
      <c r="R27" s="48"/>
      <c r="S27" s="48"/>
      <c r="T27" s="48"/>
      <c r="U27" s="48"/>
      <c r="V27" s="48"/>
      <c r="W27" s="48"/>
      <c r="X27" s="48"/>
      <c r="Y27" s="48"/>
      <c r="Z27" s="48"/>
    </row>
    <row r="28" ht="27.0" customHeight="1">
      <c r="A28" s="48"/>
      <c r="B28" s="63"/>
      <c r="C28" s="67"/>
      <c r="D28" s="65"/>
      <c r="E28" s="66"/>
      <c r="F28" s="66"/>
      <c r="G28" s="66"/>
      <c r="H28" s="66"/>
      <c r="I28" s="68">
        <f>SUM(I25:I27)</f>
        <v>20</v>
      </c>
      <c r="J28" s="69"/>
      <c r="K28" s="70"/>
      <c r="L28" s="71"/>
      <c r="M28" s="48"/>
      <c r="N28" s="48"/>
      <c r="O28" s="48"/>
      <c r="P28" s="48"/>
      <c r="Q28" s="48"/>
      <c r="R28" s="48"/>
      <c r="S28" s="48"/>
      <c r="T28" s="48"/>
      <c r="U28" s="48"/>
      <c r="V28" s="48"/>
      <c r="W28" s="48"/>
      <c r="X28" s="48"/>
      <c r="Y28" s="48"/>
      <c r="Z28" s="48"/>
    </row>
    <row r="29" ht="27.0" customHeight="1">
      <c r="A29" s="48"/>
      <c r="B29" s="72">
        <v>4.1</v>
      </c>
      <c r="C29" s="54" t="s">
        <v>150</v>
      </c>
      <c r="D29" s="23" t="s">
        <v>151</v>
      </c>
      <c r="E29" s="73" t="s">
        <v>152</v>
      </c>
      <c r="F29" s="57" t="s">
        <v>153</v>
      </c>
      <c r="G29" s="53">
        <v>0.5</v>
      </c>
      <c r="H29" s="56" t="s">
        <v>33</v>
      </c>
      <c r="I29" s="58">
        <f t="shared" ref="I29:I30" si="4">IF(H29="H",1*G29,IF(H29="M",5*G29,IF(H29="L",10*G29)))</f>
        <v>5</v>
      </c>
      <c r="J29" s="59"/>
      <c r="K29" s="60"/>
      <c r="L29" s="61"/>
      <c r="M29" s="48"/>
      <c r="N29" s="48"/>
      <c r="O29" s="48"/>
      <c r="P29" s="48"/>
      <c r="Q29" s="48"/>
      <c r="R29" s="48"/>
      <c r="S29" s="48"/>
      <c r="T29" s="48"/>
      <c r="U29" s="48"/>
      <c r="V29" s="48"/>
      <c r="W29" s="48"/>
      <c r="X29" s="48"/>
      <c r="Y29" s="48"/>
      <c r="Z29" s="48"/>
    </row>
    <row r="30" ht="27.0" customHeight="1">
      <c r="A30" s="48"/>
      <c r="B30" s="72">
        <v>4.2</v>
      </c>
      <c r="C30" s="54" t="s">
        <v>150</v>
      </c>
      <c r="D30" s="23" t="s">
        <v>151</v>
      </c>
      <c r="E30" s="73" t="s">
        <v>157</v>
      </c>
      <c r="F30" s="57" t="s">
        <v>158</v>
      </c>
      <c r="G30" s="53">
        <v>1.0</v>
      </c>
      <c r="H30" s="56" t="s">
        <v>33</v>
      </c>
      <c r="I30" s="58">
        <f t="shared" si="4"/>
        <v>10</v>
      </c>
      <c r="J30" s="59"/>
      <c r="K30" s="60"/>
      <c r="L30" s="76"/>
      <c r="M30" s="48"/>
      <c r="N30" s="48"/>
      <c r="O30" s="48"/>
      <c r="P30" s="48"/>
      <c r="Q30" s="48"/>
      <c r="R30" s="48"/>
      <c r="S30" s="48"/>
      <c r="T30" s="48"/>
      <c r="U30" s="48"/>
      <c r="V30" s="48"/>
      <c r="W30" s="48"/>
      <c r="X30" s="48"/>
      <c r="Y30" s="48"/>
      <c r="Z30" s="48"/>
    </row>
    <row r="31" ht="27.0" customHeight="1">
      <c r="A31" s="48"/>
      <c r="B31" s="63"/>
      <c r="C31" s="67"/>
      <c r="D31" s="65"/>
      <c r="E31" s="66"/>
      <c r="F31" s="66"/>
      <c r="G31" s="66"/>
      <c r="H31" s="66"/>
      <c r="I31" s="68">
        <f>SUM(I29:I30)</f>
        <v>15</v>
      </c>
      <c r="J31" s="69"/>
      <c r="K31" s="70"/>
      <c r="L31" s="71"/>
      <c r="M31" s="48"/>
      <c r="N31" s="48"/>
      <c r="O31" s="48"/>
      <c r="P31" s="48"/>
      <c r="Q31" s="48"/>
      <c r="R31" s="48"/>
      <c r="S31" s="48"/>
      <c r="T31" s="48"/>
      <c r="U31" s="48"/>
      <c r="V31" s="48"/>
      <c r="W31" s="48"/>
      <c r="X31" s="48"/>
      <c r="Y31" s="48"/>
      <c r="Z31" s="48"/>
    </row>
    <row r="32" ht="27.0" customHeight="1">
      <c r="A32" s="48"/>
      <c r="B32" s="72">
        <v>5.1</v>
      </c>
      <c r="C32" s="54" t="s">
        <v>164</v>
      </c>
      <c r="D32" s="23" t="s">
        <v>165</v>
      </c>
      <c r="E32" s="73" t="s">
        <v>166</v>
      </c>
      <c r="F32" s="57" t="s">
        <v>167</v>
      </c>
      <c r="G32" s="53">
        <v>0.5</v>
      </c>
      <c r="H32" s="56" t="s">
        <v>33</v>
      </c>
      <c r="I32" s="58">
        <f t="shared" ref="I32:I34" si="5">IF(H32="H",1*G32,IF(H32="M",5*G32,IF(H32="L",10*G32)))</f>
        <v>5</v>
      </c>
      <c r="J32" s="59"/>
      <c r="K32" s="60"/>
      <c r="L32" s="62"/>
      <c r="M32" s="48"/>
      <c r="N32" s="48"/>
      <c r="O32" s="48"/>
      <c r="P32" s="48"/>
      <c r="Q32" s="48"/>
      <c r="R32" s="48"/>
      <c r="S32" s="48"/>
      <c r="T32" s="48"/>
      <c r="U32" s="48"/>
      <c r="V32" s="48"/>
      <c r="W32" s="48"/>
      <c r="X32" s="48"/>
      <c r="Y32" s="48"/>
      <c r="Z32" s="48"/>
    </row>
    <row r="33" ht="27.0" customHeight="1">
      <c r="A33" s="48"/>
      <c r="B33" s="72">
        <v>5.2</v>
      </c>
      <c r="C33" s="54" t="s">
        <v>164</v>
      </c>
      <c r="D33" s="23" t="s">
        <v>165</v>
      </c>
      <c r="E33" s="73" t="s">
        <v>172</v>
      </c>
      <c r="F33" s="57" t="s">
        <v>173</v>
      </c>
      <c r="G33" s="53">
        <v>0.5</v>
      </c>
      <c r="H33" s="56" t="s">
        <v>33</v>
      </c>
      <c r="I33" s="58">
        <f t="shared" si="5"/>
        <v>5</v>
      </c>
      <c r="J33" s="59"/>
      <c r="K33" s="60"/>
      <c r="L33" s="62"/>
      <c r="M33" s="48"/>
      <c r="N33" s="48"/>
      <c r="O33" s="48"/>
      <c r="P33" s="48"/>
      <c r="Q33" s="48"/>
      <c r="R33" s="48"/>
      <c r="S33" s="48"/>
      <c r="T33" s="48"/>
      <c r="U33" s="48"/>
      <c r="V33" s="48"/>
      <c r="W33" s="48"/>
      <c r="X33" s="48"/>
      <c r="Y33" s="48"/>
      <c r="Z33" s="48"/>
    </row>
    <row r="34" ht="27.0" customHeight="1">
      <c r="A34" s="48"/>
      <c r="B34" s="72">
        <v>5.3</v>
      </c>
      <c r="C34" s="54" t="s">
        <v>164</v>
      </c>
      <c r="D34" s="23" t="s">
        <v>165</v>
      </c>
      <c r="E34" s="73" t="s">
        <v>174</v>
      </c>
      <c r="F34" s="57" t="s">
        <v>175</v>
      </c>
      <c r="G34" s="53">
        <v>0.5</v>
      </c>
      <c r="H34" s="56" t="s">
        <v>33</v>
      </c>
      <c r="I34" s="58">
        <f t="shared" si="5"/>
        <v>5</v>
      </c>
      <c r="J34" s="59"/>
      <c r="K34" s="60"/>
      <c r="L34" s="64"/>
      <c r="M34" s="48"/>
      <c r="N34" s="48"/>
      <c r="O34" s="48"/>
      <c r="P34" s="48"/>
      <c r="Q34" s="48"/>
      <c r="R34" s="48"/>
      <c r="S34" s="48"/>
      <c r="T34" s="48"/>
      <c r="U34" s="48"/>
      <c r="V34" s="48"/>
      <c r="W34" s="48"/>
      <c r="X34" s="48"/>
      <c r="Y34" s="48"/>
      <c r="Z34" s="48"/>
    </row>
    <row r="35" ht="27.0" customHeight="1">
      <c r="A35" s="48"/>
      <c r="B35" s="63"/>
      <c r="C35" s="67"/>
      <c r="D35" s="65"/>
      <c r="E35" s="66"/>
      <c r="F35" s="66"/>
      <c r="G35" s="66"/>
      <c r="H35" s="66"/>
      <c r="I35" s="68">
        <f>SUM(I32:I34)</f>
        <v>15</v>
      </c>
      <c r="J35" s="69"/>
      <c r="K35" s="70"/>
      <c r="L35" s="71"/>
      <c r="M35" s="48"/>
      <c r="N35" s="48"/>
      <c r="O35" s="48"/>
      <c r="P35" s="48"/>
      <c r="Q35" s="48"/>
      <c r="R35" s="48"/>
      <c r="S35" s="48"/>
      <c r="T35" s="48"/>
      <c r="U35" s="48"/>
      <c r="V35" s="48"/>
      <c r="W35" s="48"/>
      <c r="X35" s="48"/>
      <c r="Y35" s="48"/>
      <c r="Z35" s="48"/>
    </row>
    <row r="36" ht="27.0" customHeight="1">
      <c r="A36" s="48"/>
      <c r="B36" s="77">
        <v>6.1</v>
      </c>
      <c r="C36" s="54" t="s">
        <v>180</v>
      </c>
      <c r="D36" s="23" t="s">
        <v>181</v>
      </c>
      <c r="E36" s="73" t="s">
        <v>182</v>
      </c>
      <c r="F36" s="57" t="s">
        <v>183</v>
      </c>
      <c r="G36" s="53">
        <v>0.5</v>
      </c>
      <c r="H36" s="56" t="s">
        <v>33</v>
      </c>
      <c r="I36" s="58">
        <f t="shared" ref="I36:I41" si="6">IF(H36="H",1*G36,IF(H36="M",5*G36,IF(H36="L",10*G36)))</f>
        <v>5</v>
      </c>
      <c r="J36" s="59"/>
      <c r="K36" s="60"/>
      <c r="L36" s="61"/>
      <c r="M36" s="48"/>
      <c r="N36" s="48"/>
      <c r="O36" s="48"/>
      <c r="P36" s="48"/>
      <c r="Q36" s="48"/>
      <c r="R36" s="48"/>
      <c r="S36" s="48"/>
      <c r="T36" s="48"/>
      <c r="U36" s="48"/>
      <c r="V36" s="48"/>
      <c r="W36" s="48"/>
      <c r="X36" s="48"/>
      <c r="Y36" s="48"/>
      <c r="Z36" s="48"/>
    </row>
    <row r="37" ht="27.0" customHeight="1">
      <c r="A37" s="48"/>
      <c r="B37" s="77">
        <v>6.2</v>
      </c>
      <c r="C37" s="54" t="s">
        <v>180</v>
      </c>
      <c r="D37" s="23" t="s">
        <v>181</v>
      </c>
      <c r="E37" s="73" t="s">
        <v>188</v>
      </c>
      <c r="F37" s="57" t="s">
        <v>189</v>
      </c>
      <c r="G37" s="53">
        <v>0.5</v>
      </c>
      <c r="H37" s="56" t="s">
        <v>33</v>
      </c>
      <c r="I37" s="58">
        <f t="shared" si="6"/>
        <v>5</v>
      </c>
      <c r="J37" s="59"/>
      <c r="K37" s="60"/>
      <c r="L37" s="64"/>
      <c r="M37" s="48"/>
      <c r="N37" s="48"/>
      <c r="O37" s="48"/>
      <c r="P37" s="48"/>
      <c r="Q37" s="48"/>
      <c r="R37" s="48"/>
      <c r="S37" s="48"/>
      <c r="T37" s="48"/>
      <c r="U37" s="48"/>
      <c r="V37" s="48"/>
      <c r="W37" s="48"/>
      <c r="X37" s="48"/>
      <c r="Y37" s="48"/>
      <c r="Z37" s="48"/>
    </row>
    <row r="38" ht="27.0" customHeight="1">
      <c r="A38" s="48"/>
      <c r="B38" s="77">
        <v>6.3</v>
      </c>
      <c r="C38" s="54" t="s">
        <v>180</v>
      </c>
      <c r="D38" s="23" t="s">
        <v>181</v>
      </c>
      <c r="E38" s="73" t="s">
        <v>192</v>
      </c>
      <c r="F38" s="57" t="s">
        <v>194</v>
      </c>
      <c r="G38" s="53">
        <v>0.5</v>
      </c>
      <c r="H38" s="56" t="s">
        <v>33</v>
      </c>
      <c r="I38" s="58">
        <f t="shared" si="6"/>
        <v>5</v>
      </c>
      <c r="J38" s="59"/>
      <c r="K38" s="60"/>
      <c r="L38" s="64"/>
      <c r="M38" s="48"/>
      <c r="N38" s="48"/>
      <c r="O38" s="48"/>
      <c r="P38" s="48"/>
      <c r="Q38" s="48"/>
      <c r="R38" s="48"/>
      <c r="S38" s="48"/>
      <c r="T38" s="48"/>
      <c r="U38" s="48"/>
      <c r="V38" s="48"/>
      <c r="W38" s="48"/>
      <c r="X38" s="48"/>
      <c r="Y38" s="48"/>
      <c r="Z38" s="48"/>
    </row>
    <row r="39" ht="27.0" customHeight="1">
      <c r="A39" s="48"/>
      <c r="B39" s="77">
        <v>6.4</v>
      </c>
      <c r="C39" s="54" t="s">
        <v>180</v>
      </c>
      <c r="D39" s="23" t="s">
        <v>181</v>
      </c>
      <c r="E39" s="73" t="s">
        <v>196</v>
      </c>
      <c r="F39" s="57" t="s">
        <v>197</v>
      </c>
      <c r="G39" s="53">
        <v>1.0</v>
      </c>
      <c r="H39" s="56" t="s">
        <v>33</v>
      </c>
      <c r="I39" s="58">
        <f t="shared" si="6"/>
        <v>10</v>
      </c>
      <c r="J39" s="59"/>
      <c r="K39" s="60"/>
      <c r="L39" s="61"/>
      <c r="M39" s="48"/>
      <c r="N39" s="48"/>
      <c r="O39" s="48"/>
      <c r="P39" s="48"/>
      <c r="Q39" s="48"/>
      <c r="R39" s="48"/>
      <c r="S39" s="48"/>
      <c r="T39" s="48"/>
      <c r="U39" s="48"/>
      <c r="V39" s="48"/>
      <c r="W39" s="48"/>
      <c r="X39" s="48"/>
      <c r="Y39" s="48"/>
      <c r="Z39" s="48"/>
    </row>
    <row r="40" ht="27.0" customHeight="1">
      <c r="A40" s="48"/>
      <c r="B40" s="77">
        <v>6.5</v>
      </c>
      <c r="C40" s="78" t="s">
        <v>198</v>
      </c>
      <c r="D40" s="23" t="s">
        <v>181</v>
      </c>
      <c r="E40" s="73" t="s">
        <v>200</v>
      </c>
      <c r="F40" s="57" t="s">
        <v>201</v>
      </c>
      <c r="G40" s="53">
        <v>1.0</v>
      </c>
      <c r="H40" s="56" t="s">
        <v>33</v>
      </c>
      <c r="I40" s="58">
        <f t="shared" si="6"/>
        <v>10</v>
      </c>
      <c r="J40" s="59"/>
      <c r="K40" s="60"/>
      <c r="L40" s="64"/>
      <c r="M40" s="48"/>
      <c r="N40" s="48"/>
      <c r="O40" s="48"/>
      <c r="P40" s="48"/>
      <c r="Q40" s="48"/>
      <c r="R40" s="48"/>
      <c r="S40" s="48"/>
      <c r="T40" s="48"/>
      <c r="U40" s="48"/>
      <c r="V40" s="48"/>
      <c r="W40" s="48"/>
      <c r="X40" s="48"/>
      <c r="Y40" s="48"/>
      <c r="Z40" s="48"/>
    </row>
    <row r="41" ht="27.0" customHeight="1">
      <c r="A41" s="48"/>
      <c r="B41" s="77">
        <v>6.6</v>
      </c>
      <c r="C41" s="54" t="s">
        <v>180</v>
      </c>
      <c r="D41" s="23" t="s">
        <v>181</v>
      </c>
      <c r="E41" s="73" t="s">
        <v>206</v>
      </c>
      <c r="F41" s="57" t="s">
        <v>207</v>
      </c>
      <c r="G41" s="53">
        <v>1.0</v>
      </c>
      <c r="H41" s="56" t="s">
        <v>33</v>
      </c>
      <c r="I41" s="58">
        <f t="shared" si="6"/>
        <v>10</v>
      </c>
      <c r="J41" s="59"/>
      <c r="K41" s="60"/>
      <c r="L41" s="61"/>
      <c r="M41" s="48"/>
      <c r="N41" s="48"/>
      <c r="O41" s="48"/>
      <c r="P41" s="48"/>
      <c r="Q41" s="48"/>
      <c r="R41" s="48"/>
      <c r="S41" s="48"/>
      <c r="T41" s="48"/>
      <c r="U41" s="48"/>
      <c r="V41" s="48"/>
      <c r="W41" s="48"/>
      <c r="X41" s="48"/>
      <c r="Y41" s="48"/>
      <c r="Z41" s="48"/>
    </row>
    <row r="42" ht="27.0" customHeight="1">
      <c r="B42" s="79"/>
      <c r="C42" s="81"/>
      <c r="D42" s="80"/>
      <c r="E42" s="82"/>
      <c r="F42" s="82"/>
      <c r="G42" s="82"/>
      <c r="H42" s="82"/>
      <c r="I42" s="83">
        <f>SUM(I36:I41)</f>
        <v>45</v>
      </c>
      <c r="J42" s="84"/>
      <c r="K42" s="85"/>
      <c r="L42" s="86"/>
    </row>
    <row r="43" ht="27.0" customHeight="1">
      <c r="A43" s="48"/>
      <c r="B43" s="77">
        <v>7.1</v>
      </c>
      <c r="C43" s="54" t="s">
        <v>208</v>
      </c>
      <c r="D43" s="23" t="s">
        <v>209</v>
      </c>
      <c r="E43" s="73" t="s">
        <v>210</v>
      </c>
      <c r="F43" s="57" t="s">
        <v>211</v>
      </c>
      <c r="G43" s="53">
        <v>0.5</v>
      </c>
      <c r="H43" s="56" t="s">
        <v>33</v>
      </c>
      <c r="I43" s="58">
        <f t="shared" ref="I43:I47" si="7">IF(H43="H",1*G43,IF(H43="M",5*G43,IF(H43="L",10*G43)))</f>
        <v>5</v>
      </c>
      <c r="J43" s="59"/>
      <c r="K43" s="60"/>
      <c r="L43" s="61"/>
      <c r="M43" s="48"/>
      <c r="N43" s="48"/>
      <c r="O43" s="48"/>
      <c r="P43" s="48"/>
      <c r="Q43" s="48"/>
      <c r="R43" s="48"/>
      <c r="S43" s="48"/>
      <c r="T43" s="48"/>
      <c r="U43" s="48"/>
      <c r="V43" s="48"/>
      <c r="W43" s="48"/>
      <c r="X43" s="48"/>
      <c r="Y43" s="48"/>
      <c r="Z43" s="48"/>
    </row>
    <row r="44" ht="27.0" customHeight="1">
      <c r="A44" s="48"/>
      <c r="B44" s="77">
        <v>7.2</v>
      </c>
      <c r="C44" s="54" t="s">
        <v>208</v>
      </c>
      <c r="D44" s="23" t="s">
        <v>209</v>
      </c>
      <c r="E44" s="73" t="s">
        <v>212</v>
      </c>
      <c r="F44" s="57" t="s">
        <v>211</v>
      </c>
      <c r="G44" s="53">
        <v>0.5</v>
      </c>
      <c r="H44" s="56" t="s">
        <v>33</v>
      </c>
      <c r="I44" s="58">
        <f t="shared" si="7"/>
        <v>5</v>
      </c>
      <c r="J44" s="59"/>
      <c r="K44" s="60"/>
      <c r="L44" s="64"/>
      <c r="M44" s="48"/>
      <c r="N44" s="48"/>
      <c r="O44" s="48"/>
      <c r="P44" s="48"/>
      <c r="Q44" s="48"/>
      <c r="R44" s="48"/>
      <c r="S44" s="48"/>
      <c r="T44" s="48"/>
      <c r="U44" s="48"/>
      <c r="V44" s="48"/>
      <c r="W44" s="48"/>
      <c r="X44" s="48"/>
      <c r="Y44" s="48"/>
      <c r="Z44" s="48"/>
    </row>
    <row r="45" ht="27.0" customHeight="1">
      <c r="A45" s="48"/>
      <c r="B45" s="77">
        <v>7.3</v>
      </c>
      <c r="C45" s="54" t="s">
        <v>208</v>
      </c>
      <c r="D45" s="23" t="s">
        <v>209</v>
      </c>
      <c r="E45" s="73" t="s">
        <v>213</v>
      </c>
      <c r="F45" s="57" t="s">
        <v>211</v>
      </c>
      <c r="G45" s="53">
        <v>0.5</v>
      </c>
      <c r="H45" s="56" t="s">
        <v>33</v>
      </c>
      <c r="I45" s="58">
        <f t="shared" si="7"/>
        <v>5</v>
      </c>
      <c r="J45" s="59"/>
      <c r="K45" s="60"/>
      <c r="L45" s="64"/>
      <c r="M45" s="48"/>
      <c r="N45" s="48"/>
      <c r="O45" s="48"/>
      <c r="P45" s="48"/>
      <c r="Q45" s="48"/>
      <c r="R45" s="48"/>
      <c r="S45" s="48"/>
      <c r="T45" s="48"/>
      <c r="U45" s="48"/>
      <c r="V45" s="48"/>
      <c r="W45" s="48"/>
      <c r="X45" s="48"/>
      <c r="Y45" s="48"/>
      <c r="Z45" s="48"/>
    </row>
    <row r="46" ht="27.0" customHeight="1">
      <c r="A46" s="48"/>
      <c r="B46" s="77">
        <v>7.4</v>
      </c>
      <c r="C46" s="54" t="s">
        <v>208</v>
      </c>
      <c r="D46" s="23" t="s">
        <v>209</v>
      </c>
      <c r="E46" s="73" t="s">
        <v>214</v>
      </c>
      <c r="F46" s="57" t="s">
        <v>215</v>
      </c>
      <c r="G46" s="53">
        <v>1.0</v>
      </c>
      <c r="H46" s="56" t="s">
        <v>33</v>
      </c>
      <c r="I46" s="58">
        <f t="shared" si="7"/>
        <v>10</v>
      </c>
      <c r="J46" s="59"/>
      <c r="K46" s="60"/>
      <c r="L46" s="61"/>
      <c r="M46" s="48"/>
      <c r="N46" s="48"/>
      <c r="O46" s="48"/>
      <c r="P46" s="48"/>
      <c r="Q46" s="48"/>
      <c r="R46" s="48"/>
      <c r="S46" s="48"/>
      <c r="T46" s="48"/>
      <c r="U46" s="48"/>
      <c r="V46" s="48"/>
      <c r="W46" s="48"/>
      <c r="X46" s="48"/>
      <c r="Y46" s="48"/>
      <c r="Z46" s="48"/>
    </row>
    <row r="47" ht="27.0" customHeight="1">
      <c r="A47" s="48"/>
      <c r="B47" s="77">
        <v>7.5</v>
      </c>
      <c r="C47" s="54" t="s">
        <v>208</v>
      </c>
      <c r="D47" s="23" t="s">
        <v>209</v>
      </c>
      <c r="E47" s="73" t="s">
        <v>216</v>
      </c>
      <c r="F47" s="57" t="s">
        <v>217</v>
      </c>
      <c r="G47" s="53">
        <v>1.0</v>
      </c>
      <c r="H47" s="56" t="s">
        <v>33</v>
      </c>
      <c r="I47" s="58">
        <f t="shared" si="7"/>
        <v>10</v>
      </c>
      <c r="J47" s="59"/>
      <c r="K47" s="60"/>
      <c r="L47" s="64"/>
      <c r="M47" s="48"/>
      <c r="N47" s="48"/>
      <c r="O47" s="48"/>
      <c r="P47" s="48"/>
      <c r="Q47" s="48"/>
      <c r="R47" s="48"/>
      <c r="S47" s="48"/>
      <c r="T47" s="48"/>
      <c r="U47" s="48"/>
      <c r="V47" s="48"/>
      <c r="W47" s="48"/>
      <c r="X47" s="48"/>
      <c r="Y47" s="48"/>
      <c r="Z47" s="48"/>
    </row>
    <row r="48" ht="27.0" customHeight="1">
      <c r="B48" s="79"/>
      <c r="C48" s="81"/>
      <c r="D48" s="80"/>
      <c r="E48" s="82"/>
      <c r="F48" s="82"/>
      <c r="G48" s="82"/>
      <c r="H48" s="82"/>
      <c r="I48" s="83">
        <f>SUM(I43:I47)</f>
        <v>35</v>
      </c>
      <c r="J48" s="84"/>
      <c r="K48" s="85"/>
      <c r="L48" s="86"/>
    </row>
    <row r="49" ht="27.0" customHeight="1">
      <c r="A49" s="48"/>
      <c r="B49" s="77">
        <v>8.1</v>
      </c>
      <c r="C49" s="54" t="s">
        <v>218</v>
      </c>
      <c r="D49" s="23" t="s">
        <v>219</v>
      </c>
      <c r="E49" s="73" t="s">
        <v>220</v>
      </c>
      <c r="F49" s="57" t="s">
        <v>221</v>
      </c>
      <c r="G49" s="53">
        <v>0.5</v>
      </c>
      <c r="H49" s="56" t="s">
        <v>33</v>
      </c>
      <c r="I49" s="58">
        <f t="shared" ref="I49:I56" si="8">IF(H49="H",1*G49,IF(H49="M",5*G49,IF(H49="L",10*G49)))</f>
        <v>5</v>
      </c>
      <c r="J49" s="59"/>
      <c r="K49" s="60"/>
      <c r="L49" s="61"/>
      <c r="M49" s="48"/>
      <c r="N49" s="48"/>
      <c r="O49" s="48"/>
      <c r="P49" s="48"/>
      <c r="Q49" s="48"/>
      <c r="R49" s="48"/>
      <c r="S49" s="48"/>
      <c r="T49" s="48"/>
      <c r="U49" s="48"/>
      <c r="V49" s="48"/>
      <c r="W49" s="48"/>
      <c r="X49" s="48"/>
      <c r="Y49" s="48"/>
      <c r="Z49" s="48"/>
    </row>
    <row r="50" ht="27.0" customHeight="1">
      <c r="A50" s="48"/>
      <c r="B50" s="77">
        <v>8.2</v>
      </c>
      <c r="C50" s="54" t="s">
        <v>218</v>
      </c>
      <c r="D50" s="23" t="s">
        <v>219</v>
      </c>
      <c r="E50" s="73" t="s">
        <v>222</v>
      </c>
      <c r="F50" s="57" t="s">
        <v>221</v>
      </c>
      <c r="G50" s="53">
        <v>0.5</v>
      </c>
      <c r="H50" s="56" t="s">
        <v>33</v>
      </c>
      <c r="I50" s="58">
        <f t="shared" si="8"/>
        <v>5</v>
      </c>
      <c r="J50" s="59"/>
      <c r="K50" s="60"/>
      <c r="L50" s="64"/>
      <c r="M50" s="48"/>
      <c r="N50" s="48"/>
      <c r="O50" s="48"/>
      <c r="P50" s="48"/>
      <c r="Q50" s="48"/>
      <c r="R50" s="48"/>
      <c r="S50" s="48"/>
      <c r="T50" s="48"/>
      <c r="U50" s="48"/>
      <c r="V50" s="48"/>
      <c r="W50" s="48"/>
      <c r="X50" s="48"/>
      <c r="Y50" s="48"/>
      <c r="Z50" s="48"/>
    </row>
    <row r="51" ht="27.0" customHeight="1">
      <c r="A51" s="48"/>
      <c r="B51" s="77">
        <v>8.3</v>
      </c>
      <c r="C51" s="54" t="s">
        <v>218</v>
      </c>
      <c r="D51" s="23" t="s">
        <v>219</v>
      </c>
      <c r="E51" s="73" t="s">
        <v>223</v>
      </c>
      <c r="F51" s="57" t="s">
        <v>221</v>
      </c>
      <c r="G51" s="53">
        <v>0.5</v>
      </c>
      <c r="H51" s="56" t="s">
        <v>33</v>
      </c>
      <c r="I51" s="58">
        <f t="shared" si="8"/>
        <v>5</v>
      </c>
      <c r="J51" s="59"/>
      <c r="K51" s="60"/>
      <c r="L51" s="64"/>
      <c r="M51" s="48"/>
      <c r="N51" s="48"/>
      <c r="O51" s="48"/>
      <c r="P51" s="48"/>
      <c r="Q51" s="48"/>
      <c r="R51" s="48"/>
      <c r="S51" s="48"/>
      <c r="T51" s="48"/>
      <c r="U51" s="48"/>
      <c r="V51" s="48"/>
      <c r="W51" s="48"/>
      <c r="X51" s="48"/>
      <c r="Y51" s="48"/>
      <c r="Z51" s="48"/>
    </row>
    <row r="52" ht="27.0" customHeight="1">
      <c r="A52" s="48"/>
      <c r="B52" s="77">
        <v>8.4</v>
      </c>
      <c r="C52" s="54" t="s">
        <v>218</v>
      </c>
      <c r="D52" s="23" t="s">
        <v>219</v>
      </c>
      <c r="E52" s="73" t="s">
        <v>224</v>
      </c>
      <c r="F52" s="57" t="s">
        <v>221</v>
      </c>
      <c r="G52" s="53">
        <v>1.0</v>
      </c>
      <c r="H52" s="56" t="s">
        <v>33</v>
      </c>
      <c r="I52" s="58">
        <f t="shared" si="8"/>
        <v>10</v>
      </c>
      <c r="J52" s="59"/>
      <c r="K52" s="60"/>
      <c r="L52" s="61"/>
      <c r="M52" s="48"/>
      <c r="N52" s="48"/>
      <c r="O52" s="48"/>
      <c r="P52" s="48"/>
      <c r="Q52" s="48"/>
      <c r="R52" s="48"/>
      <c r="S52" s="48"/>
      <c r="T52" s="48"/>
      <c r="U52" s="48"/>
      <c r="V52" s="48"/>
      <c r="W52" s="48"/>
      <c r="X52" s="48"/>
      <c r="Y52" s="48"/>
      <c r="Z52" s="48"/>
    </row>
    <row r="53" ht="27.0" customHeight="1">
      <c r="A53" s="48"/>
      <c r="B53" s="77">
        <v>8.5</v>
      </c>
      <c r="C53" s="54" t="s">
        <v>218</v>
      </c>
      <c r="D53" s="23" t="s">
        <v>219</v>
      </c>
      <c r="E53" s="73" t="s">
        <v>225</v>
      </c>
      <c r="F53" s="57" t="s">
        <v>221</v>
      </c>
      <c r="G53" s="53">
        <v>1.0</v>
      </c>
      <c r="H53" s="56" t="s">
        <v>33</v>
      </c>
      <c r="I53" s="58">
        <f t="shared" si="8"/>
        <v>10</v>
      </c>
      <c r="J53" s="59"/>
      <c r="K53" s="60"/>
      <c r="L53" s="64"/>
      <c r="M53" s="48"/>
      <c r="N53" s="48"/>
      <c r="O53" s="48"/>
      <c r="P53" s="48"/>
      <c r="Q53" s="48"/>
      <c r="R53" s="48"/>
      <c r="S53" s="48"/>
      <c r="T53" s="48"/>
      <c r="U53" s="48"/>
      <c r="V53" s="48"/>
      <c r="W53" s="48"/>
      <c r="X53" s="48"/>
      <c r="Y53" s="48"/>
      <c r="Z53" s="48"/>
    </row>
    <row r="54" ht="27.0" customHeight="1">
      <c r="A54" s="48"/>
      <c r="B54" s="77">
        <v>8.6</v>
      </c>
      <c r="C54" s="54" t="s">
        <v>226</v>
      </c>
      <c r="D54" s="23" t="s">
        <v>219</v>
      </c>
      <c r="E54" s="73" t="s">
        <v>227</v>
      </c>
      <c r="F54" s="57" t="s">
        <v>228</v>
      </c>
      <c r="G54" s="53">
        <v>1.0</v>
      </c>
      <c r="H54" s="56" t="s">
        <v>33</v>
      </c>
      <c r="I54" s="58">
        <f t="shared" si="8"/>
        <v>10</v>
      </c>
      <c r="J54" s="59"/>
      <c r="K54" s="60"/>
      <c r="L54" s="61"/>
      <c r="M54" s="48"/>
      <c r="N54" s="48"/>
      <c r="O54" s="48"/>
      <c r="P54" s="48"/>
      <c r="Q54" s="48"/>
      <c r="R54" s="48"/>
      <c r="S54" s="48"/>
      <c r="T54" s="48"/>
      <c r="U54" s="48"/>
      <c r="V54" s="48"/>
      <c r="W54" s="48"/>
      <c r="X54" s="48"/>
      <c r="Y54" s="48"/>
      <c r="Z54" s="48"/>
    </row>
    <row r="55" ht="27.0" customHeight="1">
      <c r="A55" s="48"/>
      <c r="B55" s="77">
        <v>8.7</v>
      </c>
      <c r="C55" s="54" t="s">
        <v>226</v>
      </c>
      <c r="D55" s="23" t="s">
        <v>219</v>
      </c>
      <c r="E55" s="73" t="s">
        <v>229</v>
      </c>
      <c r="F55" s="57" t="s">
        <v>228</v>
      </c>
      <c r="G55" s="53">
        <v>1.0</v>
      </c>
      <c r="H55" s="56" t="s">
        <v>33</v>
      </c>
      <c r="I55" s="58">
        <f t="shared" si="8"/>
        <v>10</v>
      </c>
      <c r="J55" s="59"/>
      <c r="K55" s="60"/>
      <c r="L55" s="62"/>
      <c r="M55" s="48"/>
      <c r="N55" s="48"/>
      <c r="O55" s="48"/>
      <c r="P55" s="48"/>
      <c r="Q55" s="48"/>
      <c r="R55" s="48"/>
      <c r="S55" s="48"/>
      <c r="T55" s="48"/>
      <c r="U55" s="48"/>
      <c r="V55" s="48"/>
      <c r="W55" s="48"/>
      <c r="X55" s="48"/>
      <c r="Y55" s="48"/>
      <c r="Z55" s="48"/>
    </row>
    <row r="56" ht="27.0" customHeight="1">
      <c r="A56" s="48"/>
      <c r="B56" s="77">
        <v>8.8</v>
      </c>
      <c r="C56" s="54" t="s">
        <v>218</v>
      </c>
      <c r="D56" s="23" t="s">
        <v>219</v>
      </c>
      <c r="E56" s="73" t="s">
        <v>230</v>
      </c>
      <c r="F56" s="57" t="s">
        <v>231</v>
      </c>
      <c r="G56" s="53">
        <v>1.5</v>
      </c>
      <c r="H56" s="56" t="s">
        <v>33</v>
      </c>
      <c r="I56" s="58">
        <f t="shared" si="8"/>
        <v>15</v>
      </c>
      <c r="J56" s="59"/>
      <c r="K56" s="60"/>
      <c r="L56" s="62"/>
      <c r="M56" s="48"/>
      <c r="N56" s="48"/>
      <c r="O56" s="48"/>
      <c r="P56" s="48"/>
      <c r="Q56" s="48"/>
      <c r="R56" s="48"/>
      <c r="S56" s="48"/>
      <c r="T56" s="48"/>
      <c r="U56" s="48"/>
      <c r="V56" s="48"/>
      <c r="W56" s="48"/>
      <c r="X56" s="48"/>
      <c r="Y56" s="48"/>
      <c r="Z56" s="48"/>
    </row>
    <row r="57" ht="27.0" customHeight="1">
      <c r="B57" s="79"/>
      <c r="C57" s="81"/>
      <c r="D57" s="80"/>
      <c r="E57" s="82"/>
      <c r="F57" s="82"/>
      <c r="G57" s="82"/>
      <c r="H57" s="82"/>
      <c r="I57" s="83">
        <f>SUM(I49:I56)</f>
        <v>70</v>
      </c>
      <c r="J57" s="84"/>
      <c r="K57" s="85"/>
      <c r="L57" s="86"/>
    </row>
    <row r="58" ht="27.0" customHeight="1">
      <c r="C58" s="2"/>
      <c r="D58" s="1"/>
    </row>
    <row r="59" ht="27.0" customHeight="1">
      <c r="C59" s="2"/>
      <c r="D59" s="1"/>
    </row>
    <row r="60" ht="27.0" customHeight="1">
      <c r="C60" s="2"/>
      <c r="D60" s="1"/>
    </row>
    <row r="61" ht="27.0" customHeight="1">
      <c r="C61" s="2"/>
      <c r="D61" s="1"/>
    </row>
    <row r="62" ht="27.0" customHeight="1">
      <c r="C62" s="2"/>
      <c r="D62" s="1"/>
    </row>
    <row r="63" ht="27.0" customHeight="1">
      <c r="C63" s="2"/>
      <c r="D63" s="1"/>
    </row>
    <row r="64" ht="27.0" customHeight="1">
      <c r="C64" s="2"/>
      <c r="D64" s="1"/>
    </row>
    <row r="65" ht="27.0" customHeight="1">
      <c r="C65" s="2"/>
      <c r="D65" s="1"/>
    </row>
    <row r="66" ht="27.0" customHeight="1">
      <c r="C66" s="2"/>
      <c r="D66" s="1"/>
    </row>
    <row r="67" ht="27.0" customHeight="1">
      <c r="C67" s="2"/>
      <c r="D67" s="1"/>
    </row>
    <row r="68" ht="27.0" customHeight="1">
      <c r="C68" s="2"/>
      <c r="D68" s="1"/>
    </row>
    <row r="69" ht="27.0" customHeight="1">
      <c r="C69" s="2"/>
      <c r="D69" s="1"/>
    </row>
    <row r="70" ht="27.0" customHeight="1">
      <c r="C70" s="2"/>
      <c r="D70" s="1"/>
    </row>
    <row r="71" ht="27.0" customHeight="1">
      <c r="C71" s="2"/>
      <c r="D71" s="1"/>
    </row>
    <row r="72" ht="27.0" customHeight="1">
      <c r="C72" s="2"/>
      <c r="D72" s="1"/>
    </row>
    <row r="73" ht="27.0" customHeight="1">
      <c r="C73" s="2"/>
      <c r="D73" s="1"/>
    </row>
    <row r="74" ht="27.0" customHeight="1">
      <c r="C74" s="2"/>
      <c r="D74" s="1"/>
    </row>
    <row r="75" ht="27.0" customHeight="1">
      <c r="C75" s="2"/>
      <c r="D75" s="1"/>
    </row>
    <row r="76" ht="27.0" customHeight="1">
      <c r="C76" s="2"/>
      <c r="D76" s="1"/>
    </row>
    <row r="77" ht="27.0" customHeight="1">
      <c r="C77" s="2"/>
      <c r="D77" s="1"/>
    </row>
    <row r="78" ht="27.0" customHeight="1">
      <c r="C78" s="2"/>
      <c r="D78" s="1"/>
    </row>
    <row r="79" ht="27.0" customHeight="1">
      <c r="C79" s="2"/>
      <c r="D79" s="1"/>
    </row>
    <row r="80" ht="27.0" customHeight="1">
      <c r="C80" s="2"/>
      <c r="D80" s="1"/>
    </row>
    <row r="81" ht="27.0" customHeight="1">
      <c r="C81" s="2"/>
      <c r="D81" s="1"/>
    </row>
    <row r="82" ht="27.0" customHeight="1">
      <c r="C82" s="2"/>
      <c r="D82" s="1"/>
    </row>
    <row r="83" ht="27.0" customHeight="1">
      <c r="C83" s="2"/>
      <c r="D83" s="1"/>
    </row>
    <row r="84" ht="27.0" customHeight="1">
      <c r="C84" s="2"/>
      <c r="D84" s="1"/>
    </row>
    <row r="85" ht="27.0" customHeight="1">
      <c r="C85" s="2"/>
      <c r="D85" s="1"/>
    </row>
    <row r="86" ht="27.0" customHeight="1">
      <c r="C86" s="2"/>
      <c r="D86" s="1"/>
    </row>
    <row r="87" ht="27.0" customHeight="1">
      <c r="C87" s="2"/>
      <c r="D87" s="1"/>
    </row>
    <row r="88" ht="27.0" customHeight="1">
      <c r="C88" s="2"/>
      <c r="D88" s="1"/>
    </row>
    <row r="89" ht="27.0" customHeight="1">
      <c r="C89" s="2"/>
      <c r="D89" s="1"/>
    </row>
    <row r="90" ht="27.0" customHeight="1">
      <c r="C90" s="2"/>
      <c r="D90" s="1"/>
    </row>
    <row r="91" ht="27.0" customHeight="1">
      <c r="C91" s="2"/>
      <c r="D91" s="1"/>
    </row>
    <row r="92" ht="27.0" customHeight="1">
      <c r="C92" s="2"/>
      <c r="D92" s="1"/>
    </row>
    <row r="93" ht="27.0" customHeight="1">
      <c r="C93" s="2"/>
      <c r="D93" s="1"/>
    </row>
    <row r="94" ht="27.0" customHeight="1">
      <c r="C94" s="2"/>
      <c r="D94" s="1"/>
    </row>
    <row r="95" ht="27.0" customHeight="1">
      <c r="C95" s="2"/>
      <c r="D95" s="1"/>
    </row>
    <row r="96" ht="27.0" customHeight="1">
      <c r="C96" s="2"/>
      <c r="D96" s="1"/>
    </row>
    <row r="97" ht="27.0" customHeight="1">
      <c r="C97" s="2"/>
      <c r="D97" s="1"/>
    </row>
    <row r="98" ht="27.0" customHeight="1">
      <c r="C98" s="2"/>
      <c r="D98" s="1"/>
    </row>
    <row r="99" ht="27.0" customHeight="1">
      <c r="C99" s="2"/>
      <c r="D99" s="1"/>
    </row>
    <row r="100" ht="27.0" customHeight="1">
      <c r="C100" s="2"/>
      <c r="D100" s="1"/>
    </row>
    <row r="101" ht="27.0" customHeight="1">
      <c r="C101" s="2"/>
      <c r="D101" s="1"/>
    </row>
    <row r="102" ht="27.0" customHeight="1">
      <c r="C102" s="2"/>
      <c r="D102" s="1"/>
    </row>
    <row r="103" ht="27.0" customHeight="1">
      <c r="C103" s="2"/>
      <c r="D103" s="1"/>
    </row>
    <row r="104" ht="27.0" customHeight="1">
      <c r="C104" s="2"/>
      <c r="D104" s="1"/>
    </row>
    <row r="105" ht="27.0" customHeight="1">
      <c r="C105" s="2"/>
      <c r="D105" s="1"/>
    </row>
    <row r="106" ht="27.0" customHeight="1">
      <c r="C106" s="2"/>
      <c r="D106" s="1"/>
    </row>
    <row r="107" ht="27.0" customHeight="1">
      <c r="C107" s="2"/>
      <c r="D107" s="1"/>
    </row>
    <row r="108" ht="27.0" customHeight="1">
      <c r="C108" s="2"/>
      <c r="D108" s="1"/>
    </row>
    <row r="109" ht="27.0" customHeight="1">
      <c r="C109" s="2"/>
      <c r="D109" s="1"/>
    </row>
    <row r="110" ht="27.0" customHeight="1">
      <c r="C110" s="2"/>
      <c r="D110" s="1"/>
    </row>
    <row r="111" ht="27.0" customHeight="1">
      <c r="C111" s="2"/>
      <c r="D111" s="1"/>
    </row>
    <row r="112" ht="27.0" customHeight="1">
      <c r="C112" s="2"/>
      <c r="D112" s="1"/>
    </row>
    <row r="113" ht="27.0" customHeight="1">
      <c r="C113" s="2"/>
      <c r="D113" s="1"/>
    </row>
    <row r="114" ht="27.0" customHeight="1">
      <c r="C114" s="2"/>
      <c r="D114" s="1"/>
    </row>
    <row r="115" ht="27.0" customHeight="1">
      <c r="C115" s="2"/>
      <c r="D115" s="1"/>
    </row>
    <row r="116" ht="27.0" customHeight="1">
      <c r="C116" s="2"/>
      <c r="D116" s="1"/>
    </row>
    <row r="117" ht="27.0" customHeight="1">
      <c r="C117" s="2"/>
      <c r="D117" s="1"/>
    </row>
    <row r="118" ht="27.0" customHeight="1">
      <c r="C118" s="2"/>
      <c r="D118" s="1"/>
    </row>
    <row r="119" ht="27.0" customHeight="1">
      <c r="C119" s="2"/>
      <c r="D119" s="1"/>
    </row>
    <row r="120" ht="27.0" customHeight="1">
      <c r="C120" s="2"/>
      <c r="D120" s="1"/>
    </row>
    <row r="121" ht="27.0" customHeight="1">
      <c r="C121" s="2"/>
      <c r="D121" s="1"/>
    </row>
    <row r="122" ht="27.0" customHeight="1">
      <c r="C122" s="2"/>
      <c r="D122" s="1"/>
    </row>
    <row r="123" ht="27.0" customHeight="1">
      <c r="C123" s="2"/>
      <c r="D123" s="1"/>
    </row>
    <row r="124" ht="27.0" customHeight="1">
      <c r="C124" s="2"/>
      <c r="D124" s="1"/>
    </row>
    <row r="125" ht="27.0" customHeight="1">
      <c r="C125" s="2"/>
      <c r="D125" s="1"/>
    </row>
    <row r="126" ht="27.0" customHeight="1">
      <c r="C126" s="2"/>
      <c r="D126" s="1"/>
    </row>
    <row r="127" ht="27.0" customHeight="1">
      <c r="C127" s="2"/>
      <c r="D127" s="1"/>
    </row>
    <row r="128" ht="27.0" customHeight="1">
      <c r="C128" s="2"/>
      <c r="D128" s="1"/>
    </row>
    <row r="129" ht="27.0" customHeight="1">
      <c r="C129" s="2"/>
      <c r="D129" s="1"/>
    </row>
    <row r="130" ht="27.0" customHeight="1">
      <c r="C130" s="2"/>
      <c r="D130" s="1"/>
    </row>
    <row r="131" ht="27.0" customHeight="1">
      <c r="C131" s="2"/>
      <c r="D131" s="1"/>
    </row>
    <row r="132" ht="27.0" customHeight="1">
      <c r="C132" s="2"/>
      <c r="D132" s="1"/>
    </row>
    <row r="133" ht="27.0" customHeight="1">
      <c r="C133" s="2"/>
      <c r="D133" s="1"/>
    </row>
    <row r="134" ht="27.0" customHeight="1">
      <c r="C134" s="2"/>
      <c r="D134" s="1"/>
    </row>
    <row r="135" ht="27.0" customHeight="1">
      <c r="C135" s="2"/>
      <c r="D135" s="1"/>
    </row>
    <row r="136" ht="27.0" customHeight="1">
      <c r="C136" s="2"/>
      <c r="D136" s="1"/>
    </row>
    <row r="137" ht="27.0" customHeight="1">
      <c r="C137" s="2"/>
      <c r="D137" s="1"/>
    </row>
    <row r="138" ht="27.0" customHeight="1">
      <c r="C138" s="2"/>
      <c r="D138" s="1"/>
    </row>
    <row r="139" ht="27.0" customHeight="1">
      <c r="C139" s="2"/>
      <c r="D139" s="1"/>
    </row>
    <row r="140" ht="27.0" customHeight="1">
      <c r="C140" s="2"/>
      <c r="D140" s="1"/>
    </row>
    <row r="141" ht="27.0" customHeight="1">
      <c r="C141" s="2"/>
      <c r="D141" s="1"/>
    </row>
    <row r="142" ht="27.0" customHeight="1">
      <c r="C142" s="2"/>
      <c r="D142" s="1"/>
    </row>
    <row r="143" ht="27.0" customHeight="1">
      <c r="C143" s="2"/>
      <c r="D143" s="1"/>
    </row>
    <row r="144" ht="27.0" customHeight="1">
      <c r="C144" s="2"/>
      <c r="D144" s="1"/>
    </row>
    <row r="145" ht="27.0" customHeight="1">
      <c r="C145" s="2"/>
      <c r="D145" s="1"/>
    </row>
    <row r="146" ht="27.0" customHeight="1">
      <c r="C146" s="2"/>
      <c r="D146" s="1"/>
    </row>
    <row r="147" ht="27.0" customHeight="1">
      <c r="C147" s="2"/>
      <c r="D147" s="1"/>
    </row>
    <row r="148" ht="27.0" customHeight="1">
      <c r="C148" s="2"/>
      <c r="D148" s="1"/>
    </row>
    <row r="149" ht="27.0" customHeight="1">
      <c r="C149" s="2"/>
      <c r="D149" s="1"/>
    </row>
    <row r="150" ht="27.0" customHeight="1">
      <c r="C150" s="2"/>
      <c r="D150" s="1"/>
    </row>
    <row r="151" ht="27.0" customHeight="1">
      <c r="C151" s="2"/>
      <c r="D151" s="1"/>
    </row>
    <row r="152" ht="27.0" customHeight="1">
      <c r="C152" s="2"/>
      <c r="D152" s="1"/>
    </row>
    <row r="153" ht="27.0" customHeight="1">
      <c r="C153" s="2"/>
      <c r="D153" s="1"/>
    </row>
    <row r="154" ht="27.0" customHeight="1">
      <c r="C154" s="2"/>
      <c r="D154" s="1"/>
    </row>
    <row r="155" ht="27.0" customHeight="1">
      <c r="C155" s="2"/>
      <c r="D155" s="1"/>
    </row>
    <row r="156" ht="27.0" customHeight="1">
      <c r="C156" s="2"/>
      <c r="D156" s="1"/>
    </row>
    <row r="157" ht="27.0" customHeight="1">
      <c r="C157" s="2"/>
      <c r="D157" s="1"/>
    </row>
    <row r="158" ht="27.0" customHeight="1">
      <c r="C158" s="2"/>
      <c r="D158" s="1"/>
    </row>
    <row r="159" ht="27.0" customHeight="1">
      <c r="C159" s="2"/>
      <c r="D159" s="1"/>
    </row>
    <row r="160" ht="27.0" customHeight="1">
      <c r="C160" s="2"/>
      <c r="D160" s="1"/>
    </row>
    <row r="161" ht="27.0" customHeight="1">
      <c r="C161" s="2"/>
      <c r="D161" s="1"/>
    </row>
    <row r="162" ht="27.0" customHeight="1">
      <c r="C162" s="2"/>
      <c r="D162" s="1"/>
    </row>
    <row r="163" ht="27.0" customHeight="1">
      <c r="C163" s="2"/>
      <c r="D163" s="1"/>
    </row>
    <row r="164" ht="27.0" customHeight="1">
      <c r="C164" s="2"/>
      <c r="D164" s="1"/>
    </row>
    <row r="165" ht="27.0" customHeight="1">
      <c r="C165" s="2"/>
      <c r="D165" s="1"/>
    </row>
    <row r="166" ht="27.0" customHeight="1">
      <c r="C166" s="2"/>
      <c r="D166" s="1"/>
    </row>
    <row r="167" ht="27.0" customHeight="1">
      <c r="C167" s="2"/>
      <c r="D167" s="1"/>
    </row>
    <row r="168" ht="27.0" customHeight="1">
      <c r="C168" s="2"/>
      <c r="D168" s="1"/>
    </row>
    <row r="169" ht="27.0" customHeight="1">
      <c r="C169" s="2"/>
      <c r="D169" s="1"/>
    </row>
    <row r="170" ht="27.0" customHeight="1">
      <c r="C170" s="2"/>
      <c r="D170" s="1"/>
    </row>
    <row r="171" ht="27.0" customHeight="1">
      <c r="C171" s="2"/>
      <c r="D171" s="1"/>
    </row>
    <row r="172" ht="27.0" customHeight="1">
      <c r="C172" s="2"/>
      <c r="D172" s="1"/>
    </row>
    <row r="173" ht="27.0" customHeight="1">
      <c r="C173" s="2"/>
      <c r="D173" s="1"/>
    </row>
    <row r="174" ht="27.0" customHeight="1">
      <c r="C174" s="2"/>
      <c r="D174" s="1"/>
    </row>
    <row r="175" ht="27.0" customHeight="1">
      <c r="C175" s="2"/>
      <c r="D175" s="1"/>
    </row>
    <row r="176" ht="27.0" customHeight="1">
      <c r="C176" s="2"/>
      <c r="D176" s="1"/>
    </row>
    <row r="177" ht="27.0" customHeight="1">
      <c r="C177" s="2"/>
      <c r="D177" s="1"/>
    </row>
    <row r="178" ht="27.0" customHeight="1">
      <c r="C178" s="2"/>
      <c r="D178" s="1"/>
    </row>
    <row r="179" ht="27.0" customHeight="1">
      <c r="C179" s="2"/>
      <c r="D179" s="1"/>
    </row>
    <row r="180" ht="27.0" customHeight="1">
      <c r="C180" s="2"/>
      <c r="D180" s="1"/>
    </row>
    <row r="181" ht="27.0" customHeight="1">
      <c r="C181" s="2"/>
      <c r="D181" s="1"/>
    </row>
    <row r="182" ht="27.0" customHeight="1">
      <c r="C182" s="2"/>
      <c r="D182" s="1"/>
    </row>
    <row r="183" ht="27.0" customHeight="1">
      <c r="C183" s="2"/>
      <c r="D183" s="1"/>
    </row>
    <row r="184" ht="27.0" customHeight="1">
      <c r="C184" s="2"/>
      <c r="D184" s="1"/>
    </row>
    <row r="185" ht="27.0" customHeight="1">
      <c r="C185" s="2"/>
      <c r="D185" s="1"/>
    </row>
    <row r="186" ht="27.0" customHeight="1">
      <c r="C186" s="2"/>
      <c r="D186" s="1"/>
    </row>
    <row r="187" ht="27.0" customHeight="1">
      <c r="C187" s="2"/>
      <c r="D187" s="1"/>
    </row>
    <row r="188" ht="27.0" customHeight="1">
      <c r="C188" s="2"/>
      <c r="D188" s="1"/>
    </row>
    <row r="189" ht="27.0" customHeight="1">
      <c r="C189" s="2"/>
      <c r="D189" s="1"/>
    </row>
    <row r="190" ht="27.0" customHeight="1">
      <c r="C190" s="2"/>
      <c r="D190" s="1"/>
    </row>
    <row r="191" ht="27.0" customHeight="1">
      <c r="C191" s="2"/>
      <c r="D191" s="1"/>
    </row>
    <row r="192" ht="27.0" customHeight="1">
      <c r="C192" s="2"/>
      <c r="D192" s="1"/>
    </row>
    <row r="193" ht="27.0" customHeight="1">
      <c r="C193" s="2"/>
      <c r="D193" s="1"/>
    </row>
    <row r="194" ht="27.0" customHeight="1">
      <c r="C194" s="2"/>
      <c r="D194" s="1"/>
    </row>
    <row r="195" ht="27.0" customHeight="1">
      <c r="C195" s="2"/>
      <c r="D195" s="1"/>
    </row>
    <row r="196" ht="27.0" customHeight="1">
      <c r="C196" s="2"/>
      <c r="D196" s="1"/>
    </row>
    <row r="197" ht="27.0" customHeight="1">
      <c r="C197" s="2"/>
      <c r="D197" s="1"/>
    </row>
    <row r="198" ht="27.0" customHeight="1">
      <c r="C198" s="2"/>
      <c r="D198" s="1"/>
    </row>
    <row r="199" ht="27.0" customHeight="1">
      <c r="C199" s="2"/>
      <c r="D199" s="1"/>
    </row>
    <row r="200" ht="27.0" customHeight="1">
      <c r="C200" s="2"/>
      <c r="D200" s="1"/>
    </row>
    <row r="201" ht="27.0" customHeight="1">
      <c r="C201" s="2"/>
      <c r="D201" s="1"/>
    </row>
    <row r="202" ht="27.0" customHeight="1">
      <c r="C202" s="2"/>
      <c r="D202" s="1"/>
    </row>
    <row r="203" ht="27.0" customHeight="1">
      <c r="C203" s="2"/>
      <c r="D203" s="1"/>
    </row>
    <row r="204" ht="27.0" customHeight="1">
      <c r="C204" s="2"/>
      <c r="D204" s="1"/>
    </row>
    <row r="205" ht="27.0" customHeight="1">
      <c r="C205" s="2"/>
      <c r="D205" s="1"/>
    </row>
    <row r="206" ht="27.0" customHeight="1">
      <c r="C206" s="2"/>
      <c r="D206" s="1"/>
    </row>
    <row r="207" ht="27.0" customHeight="1">
      <c r="C207" s="2"/>
      <c r="D207" s="1"/>
    </row>
    <row r="208" ht="27.0" customHeight="1">
      <c r="C208" s="2"/>
      <c r="D208" s="1"/>
    </row>
    <row r="209" ht="27.0" customHeight="1">
      <c r="C209" s="2"/>
      <c r="D209" s="1"/>
    </row>
    <row r="210" ht="27.0" customHeight="1">
      <c r="C210" s="2"/>
      <c r="D210" s="1"/>
    </row>
    <row r="211" ht="27.0" customHeight="1">
      <c r="C211" s="2"/>
      <c r="D211" s="1"/>
    </row>
    <row r="212" ht="27.0" customHeight="1">
      <c r="C212" s="2"/>
      <c r="D212" s="1"/>
    </row>
    <row r="213" ht="27.0" customHeight="1">
      <c r="C213" s="2"/>
      <c r="D213" s="1"/>
    </row>
    <row r="214" ht="27.0" customHeight="1">
      <c r="C214" s="2"/>
      <c r="D214" s="1"/>
    </row>
    <row r="215" ht="27.0" customHeight="1">
      <c r="C215" s="2"/>
      <c r="D215" s="1"/>
    </row>
    <row r="216" ht="27.0" customHeight="1">
      <c r="C216" s="2"/>
      <c r="D216" s="1"/>
    </row>
    <row r="217" ht="27.0" customHeight="1">
      <c r="C217" s="2"/>
      <c r="D217" s="1"/>
    </row>
    <row r="218" ht="27.0" customHeight="1">
      <c r="C218" s="2"/>
      <c r="D218" s="1"/>
    </row>
    <row r="219" ht="27.0" customHeight="1">
      <c r="C219" s="2"/>
      <c r="D219" s="1"/>
    </row>
    <row r="220" ht="27.0" customHeight="1">
      <c r="C220" s="2"/>
      <c r="D220" s="1"/>
    </row>
    <row r="221" ht="27.0" customHeight="1">
      <c r="C221" s="2"/>
      <c r="D221" s="1"/>
    </row>
    <row r="222" ht="27.0" customHeight="1">
      <c r="C222" s="2"/>
      <c r="D222" s="1"/>
    </row>
    <row r="223" ht="27.0" customHeight="1">
      <c r="C223" s="2"/>
      <c r="D223" s="1"/>
    </row>
    <row r="224" ht="27.0" customHeight="1">
      <c r="C224" s="2"/>
      <c r="D224" s="1"/>
    </row>
    <row r="225" ht="27.0" customHeight="1">
      <c r="C225" s="2"/>
      <c r="D225" s="1"/>
    </row>
    <row r="226" ht="27.0" customHeight="1">
      <c r="C226" s="2"/>
      <c r="D226" s="1"/>
    </row>
    <row r="227" ht="27.0" customHeight="1">
      <c r="C227" s="2"/>
      <c r="D227" s="1"/>
    </row>
    <row r="228" ht="27.0" customHeight="1">
      <c r="C228" s="2"/>
      <c r="D228" s="1"/>
    </row>
    <row r="229" ht="27.0" customHeight="1">
      <c r="C229" s="2"/>
      <c r="D229" s="1"/>
    </row>
    <row r="230" ht="27.0" customHeight="1">
      <c r="C230" s="2"/>
      <c r="D230" s="1"/>
    </row>
    <row r="231" ht="27.0" customHeight="1">
      <c r="C231" s="2"/>
      <c r="D231" s="1"/>
    </row>
    <row r="232" ht="27.0" customHeight="1">
      <c r="C232" s="2"/>
      <c r="D232" s="1"/>
    </row>
    <row r="233" ht="27.0" customHeight="1">
      <c r="C233" s="2"/>
      <c r="D233" s="1"/>
    </row>
    <row r="234" ht="27.0" customHeight="1">
      <c r="C234" s="2"/>
      <c r="D234" s="1"/>
    </row>
    <row r="235" ht="27.0" customHeight="1">
      <c r="C235" s="2"/>
      <c r="D235" s="1"/>
    </row>
    <row r="236" ht="27.0" customHeight="1">
      <c r="C236" s="2"/>
      <c r="D236" s="1"/>
    </row>
    <row r="237" ht="27.0" customHeight="1">
      <c r="C237" s="2"/>
      <c r="D237" s="1"/>
    </row>
    <row r="238" ht="27.0" customHeight="1">
      <c r="C238" s="2"/>
      <c r="D238" s="1"/>
    </row>
    <row r="239" ht="27.0" customHeight="1">
      <c r="C239" s="2"/>
      <c r="D239" s="1"/>
    </row>
    <row r="240" ht="27.0" customHeight="1">
      <c r="C240" s="2"/>
      <c r="D240" s="1"/>
    </row>
    <row r="241" ht="27.0" customHeight="1">
      <c r="C241" s="2"/>
      <c r="D241" s="1"/>
    </row>
    <row r="242" ht="27.0" customHeight="1">
      <c r="C242" s="2"/>
      <c r="D242" s="1"/>
    </row>
    <row r="243" ht="27.0" customHeight="1">
      <c r="C243" s="2"/>
      <c r="D243" s="1"/>
    </row>
    <row r="244" ht="27.0" customHeight="1">
      <c r="C244" s="2"/>
      <c r="D244" s="1"/>
    </row>
    <row r="245" ht="27.0" customHeight="1">
      <c r="C245" s="2"/>
      <c r="D245" s="1"/>
    </row>
    <row r="246" ht="27.0" customHeight="1">
      <c r="C246" s="2"/>
      <c r="D246" s="1"/>
    </row>
    <row r="247" ht="27.0" customHeight="1">
      <c r="C247" s="2"/>
      <c r="D247" s="1"/>
    </row>
    <row r="248" ht="27.0" customHeight="1">
      <c r="C248" s="2"/>
      <c r="D248" s="1"/>
    </row>
    <row r="249" ht="27.0" customHeight="1">
      <c r="C249" s="2"/>
      <c r="D249" s="1"/>
    </row>
    <row r="250" ht="27.0" customHeight="1">
      <c r="C250" s="2"/>
      <c r="D250" s="1"/>
    </row>
    <row r="251" ht="27.0" customHeight="1">
      <c r="C251" s="2"/>
      <c r="D251" s="1"/>
    </row>
    <row r="252" ht="27.0" customHeight="1">
      <c r="C252" s="2"/>
      <c r="D252" s="1"/>
    </row>
    <row r="253" ht="27.0" customHeight="1">
      <c r="C253" s="2"/>
      <c r="D253" s="1"/>
    </row>
    <row r="254" ht="27.0" customHeight="1">
      <c r="C254" s="2"/>
      <c r="D254" s="1"/>
    </row>
    <row r="255" ht="27.0" customHeight="1">
      <c r="C255" s="2"/>
      <c r="D255" s="1"/>
    </row>
    <row r="256" ht="27.0" customHeight="1">
      <c r="C256" s="2"/>
      <c r="D256" s="1"/>
    </row>
    <row r="257" ht="27.0" customHeight="1">
      <c r="C257" s="2"/>
      <c r="D257" s="1"/>
    </row>
    <row r="258" ht="27.0" customHeight="1">
      <c r="C258" s="2"/>
      <c r="D258" s="1"/>
    </row>
    <row r="259" ht="27.0" customHeight="1">
      <c r="C259" s="2"/>
      <c r="D259" s="1"/>
    </row>
    <row r="260" ht="27.0" customHeight="1">
      <c r="C260" s="2"/>
      <c r="D260" s="1"/>
    </row>
    <row r="261" ht="27.0" customHeight="1">
      <c r="C261" s="2"/>
      <c r="D261" s="1"/>
    </row>
    <row r="262" ht="27.0" customHeight="1">
      <c r="C262" s="2"/>
      <c r="D262" s="1"/>
    </row>
    <row r="263" ht="27.0" customHeight="1">
      <c r="C263" s="2"/>
      <c r="D263" s="1"/>
    </row>
    <row r="264" ht="27.0" customHeight="1">
      <c r="C264" s="2"/>
      <c r="D264" s="1"/>
    </row>
    <row r="265" ht="27.0" customHeight="1">
      <c r="C265" s="2"/>
      <c r="D265" s="1"/>
    </row>
    <row r="266" ht="27.0" customHeight="1">
      <c r="C266" s="2"/>
      <c r="D266" s="1"/>
    </row>
    <row r="267" ht="27.0" customHeight="1">
      <c r="C267" s="2"/>
      <c r="D267" s="1"/>
    </row>
    <row r="268" ht="27.0" customHeight="1">
      <c r="C268" s="2"/>
      <c r="D268" s="1"/>
    </row>
    <row r="269" ht="27.0" customHeight="1">
      <c r="C269" s="2"/>
      <c r="D269" s="1"/>
    </row>
    <row r="270" ht="27.0" customHeight="1">
      <c r="C270" s="2"/>
      <c r="D270" s="1"/>
    </row>
    <row r="271" ht="27.0" customHeight="1">
      <c r="C271" s="2"/>
      <c r="D271" s="1"/>
    </row>
    <row r="272" ht="27.0" customHeight="1">
      <c r="C272" s="2"/>
      <c r="D272" s="1"/>
    </row>
    <row r="273" ht="27.0" customHeight="1">
      <c r="C273" s="2"/>
      <c r="D273" s="1"/>
    </row>
    <row r="274" ht="27.0" customHeight="1">
      <c r="C274" s="2"/>
      <c r="D274" s="1"/>
    </row>
    <row r="275" ht="27.0" customHeight="1">
      <c r="C275" s="2"/>
      <c r="D275" s="1"/>
    </row>
    <row r="276" ht="27.0" customHeight="1">
      <c r="C276" s="2"/>
      <c r="D276" s="1"/>
    </row>
    <row r="277" ht="27.0" customHeight="1">
      <c r="C277" s="2"/>
      <c r="D277" s="1"/>
    </row>
    <row r="278" ht="27.0" customHeight="1">
      <c r="C278" s="2"/>
      <c r="D278" s="1"/>
    </row>
    <row r="279" ht="27.0" customHeight="1">
      <c r="C279" s="2"/>
      <c r="D279" s="1"/>
    </row>
    <row r="280" ht="27.0" customHeight="1">
      <c r="C280" s="2"/>
      <c r="D280" s="1"/>
    </row>
    <row r="281" ht="27.0" customHeight="1">
      <c r="C281" s="2"/>
      <c r="D281" s="1"/>
    </row>
    <row r="282" ht="27.0" customHeight="1">
      <c r="C282" s="2"/>
      <c r="D282" s="1"/>
    </row>
    <row r="283" ht="27.0" customHeight="1">
      <c r="C283" s="2"/>
      <c r="D283" s="1"/>
    </row>
    <row r="284" ht="27.0" customHeight="1">
      <c r="C284" s="2"/>
      <c r="D284" s="1"/>
    </row>
    <row r="285" ht="27.0" customHeight="1">
      <c r="C285" s="2"/>
      <c r="D285" s="1"/>
    </row>
    <row r="286" ht="27.0" customHeight="1">
      <c r="C286" s="2"/>
      <c r="D286" s="1"/>
    </row>
    <row r="287" ht="27.0" customHeight="1">
      <c r="C287" s="2"/>
      <c r="D287" s="1"/>
    </row>
    <row r="288" ht="27.0" customHeight="1">
      <c r="C288" s="2"/>
      <c r="D288" s="1"/>
    </row>
    <row r="289" ht="27.0" customHeight="1">
      <c r="C289" s="2"/>
      <c r="D289" s="1"/>
    </row>
    <row r="290" ht="27.0" customHeight="1">
      <c r="C290" s="2"/>
      <c r="D290" s="1"/>
    </row>
    <row r="291" ht="27.0" customHeight="1">
      <c r="C291" s="2"/>
      <c r="D291" s="1"/>
    </row>
    <row r="292" ht="27.0" customHeight="1">
      <c r="C292" s="2"/>
      <c r="D292" s="1"/>
    </row>
    <row r="293" ht="27.0" customHeight="1">
      <c r="C293" s="2"/>
      <c r="D293" s="1"/>
    </row>
    <row r="294" ht="27.0" customHeight="1">
      <c r="C294" s="2"/>
      <c r="D294" s="1"/>
    </row>
    <row r="295" ht="27.0" customHeight="1">
      <c r="C295" s="2"/>
      <c r="D295" s="1"/>
    </row>
    <row r="296" ht="27.0" customHeight="1">
      <c r="C296" s="2"/>
      <c r="D296" s="1"/>
    </row>
    <row r="297" ht="27.0" customHeight="1">
      <c r="C297" s="2"/>
      <c r="D297" s="1"/>
    </row>
    <row r="298" ht="27.0" customHeight="1">
      <c r="C298" s="2"/>
      <c r="D298" s="1"/>
    </row>
    <row r="299" ht="27.0" customHeight="1">
      <c r="C299" s="2"/>
      <c r="D299" s="1"/>
    </row>
    <row r="300" ht="27.0" customHeight="1">
      <c r="C300" s="2"/>
      <c r="D300" s="1"/>
    </row>
    <row r="301" ht="27.0" customHeight="1">
      <c r="C301" s="2"/>
      <c r="D301" s="1"/>
    </row>
    <row r="302" ht="27.0" customHeight="1">
      <c r="C302" s="2"/>
      <c r="D302" s="1"/>
    </row>
    <row r="303" ht="27.0" customHeight="1">
      <c r="C303" s="2"/>
      <c r="D303" s="1"/>
    </row>
    <row r="304" ht="27.0" customHeight="1">
      <c r="C304" s="2"/>
      <c r="D304" s="1"/>
    </row>
    <row r="305" ht="27.0" customHeight="1">
      <c r="C305" s="2"/>
      <c r="D305" s="1"/>
    </row>
    <row r="306" ht="27.0" customHeight="1">
      <c r="C306" s="2"/>
      <c r="D306" s="1"/>
    </row>
    <row r="307" ht="27.0" customHeight="1">
      <c r="C307" s="2"/>
      <c r="D307" s="1"/>
    </row>
    <row r="308" ht="27.0" customHeight="1">
      <c r="C308" s="2"/>
      <c r="D308" s="1"/>
    </row>
    <row r="309" ht="27.0" customHeight="1">
      <c r="C309" s="2"/>
      <c r="D309" s="1"/>
    </row>
    <row r="310" ht="27.0" customHeight="1">
      <c r="C310" s="2"/>
      <c r="D310" s="1"/>
    </row>
    <row r="311" ht="27.0" customHeight="1">
      <c r="C311" s="2"/>
      <c r="D311" s="1"/>
    </row>
    <row r="312" ht="27.0" customHeight="1">
      <c r="C312" s="2"/>
      <c r="D312" s="1"/>
    </row>
    <row r="313" ht="27.0" customHeight="1">
      <c r="C313" s="2"/>
      <c r="D313" s="1"/>
    </row>
    <row r="314" ht="27.0" customHeight="1">
      <c r="C314" s="2"/>
      <c r="D314" s="1"/>
    </row>
    <row r="315" ht="27.0" customHeight="1">
      <c r="C315" s="2"/>
      <c r="D315" s="1"/>
    </row>
    <row r="316" ht="27.0" customHeight="1">
      <c r="C316" s="2"/>
      <c r="D316" s="1"/>
    </row>
    <row r="317" ht="27.0" customHeight="1">
      <c r="C317" s="2"/>
      <c r="D317" s="1"/>
    </row>
    <row r="318" ht="27.0" customHeight="1">
      <c r="C318" s="2"/>
      <c r="D318" s="1"/>
    </row>
    <row r="319" ht="27.0" customHeight="1">
      <c r="C319" s="2"/>
      <c r="D319" s="1"/>
    </row>
    <row r="320" ht="27.0" customHeight="1">
      <c r="C320" s="2"/>
      <c r="D320" s="1"/>
    </row>
    <row r="321" ht="27.0" customHeight="1">
      <c r="C321" s="2"/>
      <c r="D321" s="1"/>
    </row>
    <row r="322" ht="27.0" customHeight="1">
      <c r="C322" s="2"/>
      <c r="D322" s="1"/>
    </row>
    <row r="323" ht="27.0" customHeight="1">
      <c r="C323" s="2"/>
      <c r="D323" s="1"/>
    </row>
    <row r="324" ht="27.0" customHeight="1">
      <c r="C324" s="2"/>
      <c r="D324" s="1"/>
    </row>
    <row r="325" ht="27.0" customHeight="1">
      <c r="C325" s="2"/>
      <c r="D325" s="1"/>
    </row>
    <row r="326" ht="27.0" customHeight="1">
      <c r="C326" s="2"/>
      <c r="D326" s="1"/>
    </row>
    <row r="327" ht="27.0" customHeight="1">
      <c r="C327" s="2"/>
      <c r="D327" s="1"/>
    </row>
    <row r="328" ht="27.0" customHeight="1">
      <c r="C328" s="2"/>
      <c r="D328" s="1"/>
    </row>
    <row r="329" ht="27.0" customHeight="1">
      <c r="C329" s="2"/>
      <c r="D329" s="1"/>
    </row>
    <row r="330" ht="27.0" customHeight="1">
      <c r="C330" s="2"/>
      <c r="D330" s="1"/>
    </row>
    <row r="331" ht="27.0" customHeight="1">
      <c r="C331" s="2"/>
      <c r="D331" s="1"/>
    </row>
    <row r="332" ht="27.0" customHeight="1">
      <c r="C332" s="2"/>
      <c r="D332" s="1"/>
    </row>
    <row r="333" ht="27.0" customHeight="1">
      <c r="C333" s="2"/>
      <c r="D333" s="1"/>
    </row>
    <row r="334" ht="27.0" customHeight="1">
      <c r="C334" s="2"/>
      <c r="D334" s="1"/>
    </row>
    <row r="335" ht="27.0" customHeight="1">
      <c r="C335" s="2"/>
      <c r="D335" s="1"/>
    </row>
    <row r="336" ht="27.0" customHeight="1">
      <c r="C336" s="2"/>
      <c r="D336" s="1"/>
    </row>
    <row r="337" ht="27.0" customHeight="1">
      <c r="C337" s="2"/>
      <c r="D337" s="1"/>
    </row>
    <row r="338" ht="27.0" customHeight="1">
      <c r="C338" s="2"/>
      <c r="D338" s="1"/>
    </row>
    <row r="339" ht="27.0" customHeight="1">
      <c r="C339" s="2"/>
      <c r="D339" s="1"/>
    </row>
    <row r="340" ht="27.0" customHeight="1">
      <c r="C340" s="2"/>
      <c r="D340" s="1"/>
    </row>
    <row r="341" ht="27.0" customHeight="1">
      <c r="C341" s="2"/>
      <c r="D341" s="1"/>
    </row>
    <row r="342" ht="27.0" customHeight="1">
      <c r="C342" s="2"/>
      <c r="D342" s="1"/>
    </row>
    <row r="343" ht="27.0" customHeight="1">
      <c r="C343" s="2"/>
      <c r="D343" s="1"/>
    </row>
    <row r="344" ht="27.0" customHeight="1">
      <c r="C344" s="2"/>
      <c r="D344" s="1"/>
    </row>
    <row r="345" ht="27.0" customHeight="1">
      <c r="C345" s="2"/>
      <c r="D345" s="1"/>
    </row>
    <row r="346" ht="27.0" customHeight="1">
      <c r="C346" s="2"/>
      <c r="D346" s="1"/>
    </row>
    <row r="347" ht="27.0" customHeight="1">
      <c r="C347" s="2"/>
      <c r="D347" s="1"/>
    </row>
    <row r="348" ht="27.0" customHeight="1">
      <c r="C348" s="2"/>
      <c r="D348" s="1"/>
    </row>
    <row r="349" ht="27.0" customHeight="1">
      <c r="C349" s="2"/>
      <c r="D349" s="1"/>
    </row>
    <row r="350" ht="27.0" customHeight="1">
      <c r="C350" s="2"/>
      <c r="D350" s="1"/>
    </row>
    <row r="351" ht="27.0" customHeight="1">
      <c r="C351" s="2"/>
      <c r="D351" s="1"/>
    </row>
    <row r="352" ht="27.0" customHeight="1">
      <c r="C352" s="2"/>
      <c r="D352" s="1"/>
    </row>
    <row r="353" ht="27.0" customHeight="1">
      <c r="C353" s="2"/>
      <c r="D353" s="1"/>
    </row>
    <row r="354" ht="27.0" customHeight="1">
      <c r="C354" s="2"/>
      <c r="D354" s="1"/>
    </row>
    <row r="355" ht="27.0" customHeight="1">
      <c r="C355" s="2"/>
      <c r="D355" s="1"/>
    </row>
    <row r="356" ht="27.0" customHeight="1">
      <c r="C356" s="2"/>
      <c r="D356" s="1"/>
    </row>
    <row r="357" ht="27.0" customHeight="1">
      <c r="C357" s="2"/>
      <c r="D357" s="1"/>
    </row>
    <row r="358" ht="27.0" customHeight="1">
      <c r="C358" s="2"/>
      <c r="D358" s="1"/>
    </row>
    <row r="359" ht="27.0" customHeight="1">
      <c r="C359" s="2"/>
      <c r="D359" s="1"/>
    </row>
    <row r="360" ht="27.0" customHeight="1">
      <c r="C360" s="2"/>
      <c r="D360" s="1"/>
    </row>
    <row r="361" ht="27.0" customHeight="1">
      <c r="C361" s="2"/>
      <c r="D361" s="1"/>
    </row>
    <row r="362" ht="27.0" customHeight="1">
      <c r="C362" s="2"/>
      <c r="D362" s="1"/>
    </row>
    <row r="363" ht="27.0" customHeight="1">
      <c r="C363" s="2"/>
      <c r="D363" s="1"/>
    </row>
    <row r="364" ht="27.0" customHeight="1">
      <c r="C364" s="2"/>
      <c r="D364" s="1"/>
    </row>
    <row r="365" ht="27.0" customHeight="1">
      <c r="C365" s="2"/>
      <c r="D365" s="1"/>
    </row>
    <row r="366" ht="27.0" customHeight="1">
      <c r="C366" s="2"/>
      <c r="D366" s="1"/>
    </row>
    <row r="367" ht="27.0" customHeight="1">
      <c r="C367" s="2"/>
      <c r="D367" s="1"/>
    </row>
    <row r="368" ht="27.0" customHeight="1">
      <c r="C368" s="2"/>
      <c r="D368" s="1"/>
    </row>
    <row r="369" ht="27.0" customHeight="1">
      <c r="C369" s="2"/>
      <c r="D369" s="1"/>
    </row>
    <row r="370" ht="27.0" customHeight="1">
      <c r="C370" s="2"/>
      <c r="D370" s="1"/>
    </row>
    <row r="371" ht="27.0" customHeight="1">
      <c r="C371" s="2"/>
      <c r="D371" s="1"/>
    </row>
    <row r="372" ht="27.0" customHeight="1">
      <c r="C372" s="2"/>
      <c r="D372" s="1"/>
    </row>
    <row r="373" ht="27.0" customHeight="1">
      <c r="C373" s="2"/>
      <c r="D373" s="1"/>
    </row>
    <row r="374" ht="27.0" customHeight="1">
      <c r="C374" s="2"/>
      <c r="D374" s="1"/>
    </row>
    <row r="375" ht="27.0" customHeight="1">
      <c r="C375" s="2"/>
      <c r="D375" s="1"/>
    </row>
    <row r="376" ht="27.0" customHeight="1">
      <c r="C376" s="2"/>
      <c r="D376" s="1"/>
    </row>
    <row r="377" ht="27.0" customHeight="1">
      <c r="C377" s="2"/>
      <c r="D377" s="1"/>
    </row>
    <row r="378" ht="27.0" customHeight="1">
      <c r="C378" s="2"/>
      <c r="D378" s="1"/>
    </row>
    <row r="379" ht="27.0" customHeight="1">
      <c r="C379" s="2"/>
      <c r="D379" s="1"/>
    </row>
    <row r="380" ht="27.0" customHeight="1">
      <c r="C380" s="2"/>
      <c r="D380" s="1"/>
    </row>
    <row r="381" ht="27.0" customHeight="1">
      <c r="C381" s="2"/>
      <c r="D381" s="1"/>
    </row>
    <row r="382" ht="27.0" customHeight="1">
      <c r="C382" s="2"/>
      <c r="D382" s="1"/>
    </row>
    <row r="383" ht="27.0" customHeight="1">
      <c r="C383" s="2"/>
      <c r="D383" s="1"/>
    </row>
    <row r="384" ht="27.0" customHeight="1">
      <c r="C384" s="2"/>
      <c r="D384" s="1"/>
    </row>
    <row r="385" ht="27.0" customHeight="1">
      <c r="C385" s="2"/>
      <c r="D385" s="1"/>
    </row>
    <row r="386" ht="27.0" customHeight="1">
      <c r="C386" s="2"/>
      <c r="D386" s="1"/>
    </row>
    <row r="387" ht="27.0" customHeight="1">
      <c r="C387" s="2"/>
      <c r="D387" s="1"/>
    </row>
    <row r="388" ht="27.0" customHeight="1">
      <c r="C388" s="2"/>
      <c r="D388" s="1"/>
    </row>
    <row r="389" ht="27.0" customHeight="1">
      <c r="C389" s="2"/>
      <c r="D389" s="1"/>
    </row>
    <row r="390" ht="27.0" customHeight="1">
      <c r="C390" s="2"/>
      <c r="D390" s="1"/>
    </row>
    <row r="391" ht="27.0" customHeight="1">
      <c r="C391" s="2"/>
      <c r="D391" s="1"/>
    </row>
    <row r="392" ht="27.0" customHeight="1">
      <c r="C392" s="2"/>
      <c r="D392" s="1"/>
    </row>
    <row r="393" ht="27.0" customHeight="1">
      <c r="C393" s="2"/>
      <c r="D393" s="1"/>
    </row>
    <row r="394" ht="27.0" customHeight="1">
      <c r="C394" s="2"/>
      <c r="D394" s="1"/>
    </row>
    <row r="395" ht="27.0" customHeight="1">
      <c r="C395" s="2"/>
      <c r="D395" s="1"/>
    </row>
    <row r="396" ht="27.0" customHeight="1">
      <c r="C396" s="2"/>
      <c r="D396" s="1"/>
    </row>
    <row r="397" ht="27.0" customHeight="1">
      <c r="C397" s="2"/>
      <c r="D397" s="1"/>
    </row>
    <row r="398" ht="27.0" customHeight="1">
      <c r="C398" s="2"/>
      <c r="D398" s="1"/>
    </row>
    <row r="399" ht="27.0" customHeight="1">
      <c r="C399" s="2"/>
      <c r="D399" s="1"/>
    </row>
    <row r="400" ht="27.0" customHeight="1">
      <c r="C400" s="2"/>
      <c r="D400" s="1"/>
    </row>
    <row r="401" ht="27.0" customHeight="1">
      <c r="C401" s="2"/>
      <c r="D401" s="1"/>
    </row>
    <row r="402" ht="27.0" customHeight="1">
      <c r="C402" s="2"/>
      <c r="D402" s="1"/>
    </row>
    <row r="403" ht="27.0" customHeight="1">
      <c r="C403" s="2"/>
      <c r="D403" s="1"/>
    </row>
    <row r="404" ht="27.0" customHeight="1">
      <c r="C404" s="2"/>
      <c r="D404" s="1"/>
    </row>
    <row r="405" ht="27.0" customHeight="1">
      <c r="C405" s="2"/>
      <c r="D405" s="1"/>
    </row>
    <row r="406" ht="27.0" customHeight="1">
      <c r="C406" s="2"/>
      <c r="D406" s="1"/>
    </row>
    <row r="407" ht="27.0" customHeight="1">
      <c r="C407" s="2"/>
      <c r="D407" s="1"/>
    </row>
    <row r="408" ht="27.0" customHeight="1">
      <c r="C408" s="2"/>
      <c r="D408" s="1"/>
    </row>
    <row r="409" ht="27.0" customHeight="1">
      <c r="C409" s="2"/>
      <c r="D409" s="1"/>
    </row>
    <row r="410" ht="27.0" customHeight="1">
      <c r="C410" s="2"/>
      <c r="D410" s="1"/>
    </row>
    <row r="411" ht="27.0" customHeight="1">
      <c r="C411" s="2"/>
      <c r="D411" s="1"/>
    </row>
    <row r="412" ht="27.0" customHeight="1">
      <c r="C412" s="2"/>
      <c r="D412" s="1"/>
    </row>
    <row r="413" ht="27.0" customHeight="1">
      <c r="C413" s="2"/>
      <c r="D413" s="1"/>
    </row>
    <row r="414" ht="27.0" customHeight="1">
      <c r="C414" s="2"/>
      <c r="D414" s="1"/>
    </row>
    <row r="415" ht="27.0" customHeight="1">
      <c r="C415" s="2"/>
      <c r="D415" s="1"/>
    </row>
    <row r="416" ht="27.0" customHeight="1">
      <c r="C416" s="2"/>
      <c r="D416" s="1"/>
    </row>
    <row r="417" ht="27.0" customHeight="1">
      <c r="C417" s="2"/>
      <c r="D417" s="1"/>
    </row>
    <row r="418" ht="27.0" customHeight="1">
      <c r="C418" s="2"/>
      <c r="D418" s="1"/>
    </row>
    <row r="419" ht="27.0" customHeight="1">
      <c r="C419" s="2"/>
      <c r="D419" s="1"/>
    </row>
    <row r="420" ht="27.0" customHeight="1">
      <c r="C420" s="2"/>
      <c r="D420" s="1"/>
    </row>
    <row r="421" ht="27.0" customHeight="1">
      <c r="C421" s="2"/>
      <c r="D421" s="1"/>
    </row>
    <row r="422" ht="27.0" customHeight="1">
      <c r="C422" s="2"/>
      <c r="D422" s="1"/>
    </row>
    <row r="423" ht="27.0" customHeight="1">
      <c r="C423" s="2"/>
      <c r="D423" s="1"/>
    </row>
    <row r="424" ht="27.0" customHeight="1">
      <c r="C424" s="2"/>
      <c r="D424" s="1"/>
    </row>
    <row r="425" ht="27.0" customHeight="1">
      <c r="C425" s="2"/>
      <c r="D425" s="1"/>
    </row>
    <row r="426" ht="27.0" customHeight="1">
      <c r="C426" s="2"/>
      <c r="D426" s="1"/>
    </row>
    <row r="427" ht="27.0" customHeight="1">
      <c r="C427" s="2"/>
      <c r="D427" s="1"/>
    </row>
    <row r="428" ht="27.0" customHeight="1">
      <c r="C428" s="2"/>
      <c r="D428" s="1"/>
    </row>
    <row r="429" ht="27.0" customHeight="1">
      <c r="C429" s="2"/>
      <c r="D429" s="1"/>
    </row>
    <row r="430" ht="27.0" customHeight="1">
      <c r="C430" s="2"/>
      <c r="D430" s="1"/>
    </row>
    <row r="431" ht="27.0" customHeight="1">
      <c r="C431" s="2"/>
      <c r="D431" s="1"/>
    </row>
    <row r="432" ht="27.0" customHeight="1">
      <c r="C432" s="2"/>
      <c r="D432" s="1"/>
    </row>
    <row r="433" ht="27.0" customHeight="1">
      <c r="C433" s="2"/>
      <c r="D433" s="1"/>
    </row>
    <row r="434" ht="27.0" customHeight="1">
      <c r="C434" s="2"/>
      <c r="D434" s="1"/>
    </row>
    <row r="435" ht="27.0" customHeight="1">
      <c r="C435" s="2"/>
      <c r="D435" s="1"/>
    </row>
    <row r="436" ht="27.0" customHeight="1">
      <c r="C436" s="2"/>
      <c r="D436" s="1"/>
    </row>
    <row r="437" ht="27.0" customHeight="1">
      <c r="C437" s="2"/>
      <c r="D437" s="1"/>
    </row>
    <row r="438" ht="27.0" customHeight="1">
      <c r="C438" s="2"/>
      <c r="D438" s="1"/>
    </row>
    <row r="439" ht="27.0" customHeight="1">
      <c r="C439" s="2"/>
      <c r="D439" s="1"/>
    </row>
    <row r="440" ht="27.0" customHeight="1">
      <c r="C440" s="2"/>
      <c r="D440" s="1"/>
    </row>
    <row r="441" ht="27.0" customHeight="1">
      <c r="C441" s="2"/>
      <c r="D441" s="1"/>
    </row>
    <row r="442" ht="27.0" customHeight="1">
      <c r="C442" s="2"/>
      <c r="D442" s="1"/>
    </row>
    <row r="443" ht="27.0" customHeight="1">
      <c r="C443" s="2"/>
      <c r="D443" s="1"/>
    </row>
    <row r="444" ht="27.0" customHeight="1">
      <c r="C444" s="2"/>
      <c r="D444" s="1"/>
    </row>
    <row r="445" ht="27.0" customHeight="1">
      <c r="C445" s="2"/>
      <c r="D445" s="1"/>
    </row>
    <row r="446" ht="27.0" customHeight="1">
      <c r="C446" s="2"/>
      <c r="D446" s="1"/>
    </row>
    <row r="447" ht="27.0" customHeight="1">
      <c r="C447" s="2"/>
      <c r="D447" s="1"/>
    </row>
    <row r="448" ht="27.0" customHeight="1">
      <c r="C448" s="2"/>
      <c r="D448" s="1"/>
    </row>
    <row r="449" ht="27.0" customHeight="1">
      <c r="C449" s="2"/>
      <c r="D449" s="1"/>
    </row>
    <row r="450" ht="27.0" customHeight="1">
      <c r="C450" s="2"/>
      <c r="D450" s="1"/>
    </row>
    <row r="451" ht="27.0" customHeight="1">
      <c r="C451" s="2"/>
      <c r="D451" s="1"/>
    </row>
    <row r="452" ht="27.0" customHeight="1">
      <c r="C452" s="2"/>
      <c r="D452" s="1"/>
    </row>
    <row r="453" ht="27.0" customHeight="1">
      <c r="C453" s="2"/>
      <c r="D453" s="1"/>
    </row>
    <row r="454" ht="27.0" customHeight="1">
      <c r="C454" s="2"/>
      <c r="D454" s="1"/>
    </row>
    <row r="455" ht="27.0" customHeight="1">
      <c r="C455" s="2"/>
      <c r="D455" s="1"/>
    </row>
    <row r="456" ht="27.0" customHeight="1">
      <c r="C456" s="2"/>
      <c r="D456" s="1"/>
    </row>
    <row r="457" ht="27.0" customHeight="1">
      <c r="C457" s="2"/>
      <c r="D457" s="1"/>
    </row>
    <row r="458" ht="27.0" customHeight="1">
      <c r="C458" s="2"/>
      <c r="D458" s="1"/>
    </row>
    <row r="459" ht="27.0" customHeight="1">
      <c r="C459" s="2"/>
      <c r="D459" s="1"/>
    </row>
    <row r="460" ht="27.0" customHeight="1">
      <c r="C460" s="2"/>
      <c r="D460" s="1"/>
    </row>
    <row r="461" ht="27.0" customHeight="1">
      <c r="C461" s="2"/>
      <c r="D461" s="1"/>
    </row>
    <row r="462" ht="27.0" customHeight="1">
      <c r="C462" s="2"/>
      <c r="D462" s="1"/>
    </row>
    <row r="463" ht="27.0" customHeight="1">
      <c r="C463" s="2"/>
      <c r="D463" s="1"/>
    </row>
    <row r="464" ht="27.0" customHeight="1">
      <c r="C464" s="2"/>
      <c r="D464" s="1"/>
    </row>
    <row r="465" ht="27.0" customHeight="1">
      <c r="C465" s="2"/>
      <c r="D465" s="1"/>
    </row>
    <row r="466" ht="27.0" customHeight="1">
      <c r="C466" s="2"/>
      <c r="D466" s="1"/>
    </row>
    <row r="467" ht="27.0" customHeight="1">
      <c r="C467" s="2"/>
      <c r="D467" s="1"/>
    </row>
    <row r="468" ht="27.0" customHeight="1">
      <c r="C468" s="2"/>
      <c r="D468" s="1"/>
    </row>
    <row r="469" ht="27.0" customHeight="1">
      <c r="C469" s="2"/>
      <c r="D469" s="1"/>
    </row>
    <row r="470" ht="27.0" customHeight="1">
      <c r="C470" s="2"/>
      <c r="D470" s="1"/>
    </row>
    <row r="471" ht="27.0" customHeight="1">
      <c r="C471" s="2"/>
      <c r="D471" s="1"/>
    </row>
    <row r="472" ht="27.0" customHeight="1">
      <c r="C472" s="2"/>
      <c r="D472" s="1"/>
    </row>
    <row r="473" ht="27.0" customHeight="1">
      <c r="C473" s="2"/>
      <c r="D473" s="1"/>
    </row>
    <row r="474" ht="27.0" customHeight="1">
      <c r="C474" s="2"/>
      <c r="D474" s="1"/>
    </row>
    <row r="475" ht="27.0" customHeight="1">
      <c r="C475" s="2"/>
      <c r="D475" s="1"/>
    </row>
    <row r="476" ht="27.0" customHeight="1">
      <c r="C476" s="2"/>
      <c r="D476" s="1"/>
    </row>
    <row r="477" ht="27.0" customHeight="1">
      <c r="C477" s="2"/>
      <c r="D477" s="1"/>
    </row>
    <row r="478" ht="27.0" customHeight="1">
      <c r="C478" s="2"/>
      <c r="D478" s="1"/>
    </row>
    <row r="479" ht="27.0" customHeight="1">
      <c r="C479" s="2"/>
      <c r="D479" s="1"/>
    </row>
    <row r="480" ht="27.0" customHeight="1">
      <c r="C480" s="2"/>
      <c r="D480" s="1"/>
    </row>
    <row r="481" ht="27.0" customHeight="1">
      <c r="C481" s="2"/>
      <c r="D481" s="1"/>
    </row>
    <row r="482" ht="27.0" customHeight="1">
      <c r="C482" s="2"/>
      <c r="D482" s="1"/>
    </row>
    <row r="483" ht="27.0" customHeight="1">
      <c r="C483" s="2"/>
      <c r="D483" s="1"/>
    </row>
    <row r="484" ht="27.0" customHeight="1">
      <c r="C484" s="2"/>
      <c r="D484" s="1"/>
    </row>
    <row r="485" ht="27.0" customHeight="1">
      <c r="C485" s="2"/>
      <c r="D485" s="1"/>
    </row>
    <row r="486" ht="27.0" customHeight="1">
      <c r="C486" s="2"/>
      <c r="D486" s="1"/>
    </row>
    <row r="487" ht="27.0" customHeight="1">
      <c r="C487" s="2"/>
      <c r="D487" s="1"/>
    </row>
    <row r="488" ht="27.0" customHeight="1">
      <c r="C488" s="2"/>
      <c r="D488" s="1"/>
    </row>
    <row r="489" ht="27.0" customHeight="1">
      <c r="C489" s="2"/>
      <c r="D489" s="1"/>
    </row>
    <row r="490" ht="27.0" customHeight="1">
      <c r="C490" s="2"/>
      <c r="D490" s="1"/>
    </row>
    <row r="491" ht="27.0" customHeight="1">
      <c r="C491" s="2"/>
      <c r="D491" s="1"/>
    </row>
    <row r="492" ht="27.0" customHeight="1">
      <c r="C492" s="2"/>
      <c r="D492" s="1"/>
    </row>
    <row r="493" ht="27.0" customHeight="1">
      <c r="C493" s="2"/>
      <c r="D493" s="1"/>
    </row>
    <row r="494" ht="27.0" customHeight="1">
      <c r="C494" s="2"/>
      <c r="D494" s="1"/>
    </row>
    <row r="495" ht="27.0" customHeight="1">
      <c r="C495" s="2"/>
      <c r="D495" s="1"/>
    </row>
    <row r="496" ht="27.0" customHeight="1">
      <c r="C496" s="2"/>
      <c r="D496" s="1"/>
    </row>
    <row r="497" ht="27.0" customHeight="1">
      <c r="C497" s="2"/>
      <c r="D497" s="1"/>
    </row>
    <row r="498" ht="27.0" customHeight="1">
      <c r="C498" s="2"/>
      <c r="D498" s="1"/>
    </row>
    <row r="499" ht="27.0" customHeight="1">
      <c r="C499" s="2"/>
      <c r="D499" s="1"/>
    </row>
    <row r="500" ht="27.0" customHeight="1">
      <c r="C500" s="2"/>
      <c r="D500" s="1"/>
    </row>
    <row r="501" ht="27.0" customHeight="1">
      <c r="C501" s="2"/>
      <c r="D501" s="1"/>
    </row>
    <row r="502" ht="27.0" customHeight="1">
      <c r="C502" s="2"/>
      <c r="D502" s="1"/>
    </row>
    <row r="503" ht="27.0" customHeight="1">
      <c r="C503" s="2"/>
      <c r="D503" s="1"/>
    </row>
    <row r="504" ht="27.0" customHeight="1">
      <c r="C504" s="2"/>
      <c r="D504" s="1"/>
    </row>
    <row r="505" ht="27.0" customHeight="1">
      <c r="C505" s="2"/>
      <c r="D505" s="1"/>
    </row>
    <row r="506" ht="27.0" customHeight="1">
      <c r="C506" s="2"/>
      <c r="D506" s="1"/>
    </row>
    <row r="507" ht="27.0" customHeight="1">
      <c r="C507" s="2"/>
      <c r="D507" s="1"/>
    </row>
    <row r="508" ht="27.0" customHeight="1">
      <c r="C508" s="2"/>
      <c r="D508" s="1"/>
    </row>
    <row r="509" ht="27.0" customHeight="1">
      <c r="C509" s="2"/>
      <c r="D509" s="1"/>
    </row>
    <row r="510" ht="27.0" customHeight="1">
      <c r="C510" s="2"/>
      <c r="D510" s="1"/>
    </row>
    <row r="511" ht="27.0" customHeight="1">
      <c r="C511" s="2"/>
      <c r="D511" s="1"/>
    </row>
    <row r="512" ht="27.0" customHeight="1">
      <c r="C512" s="2"/>
      <c r="D512" s="1"/>
    </row>
    <row r="513" ht="27.0" customHeight="1">
      <c r="C513" s="2"/>
      <c r="D513" s="1"/>
    </row>
    <row r="514" ht="27.0" customHeight="1">
      <c r="C514" s="2"/>
      <c r="D514" s="1"/>
    </row>
    <row r="515" ht="27.0" customHeight="1">
      <c r="C515" s="2"/>
      <c r="D515" s="1"/>
    </row>
    <row r="516" ht="27.0" customHeight="1">
      <c r="C516" s="2"/>
      <c r="D516" s="1"/>
    </row>
    <row r="517" ht="27.0" customHeight="1">
      <c r="C517" s="2"/>
      <c r="D517" s="1"/>
    </row>
    <row r="518" ht="27.0" customHeight="1">
      <c r="C518" s="2"/>
      <c r="D518" s="1"/>
    </row>
    <row r="519" ht="27.0" customHeight="1">
      <c r="C519" s="2"/>
      <c r="D519" s="1"/>
    </row>
    <row r="520" ht="27.0" customHeight="1">
      <c r="C520" s="2"/>
      <c r="D520" s="1"/>
    </row>
    <row r="521" ht="27.0" customHeight="1">
      <c r="C521" s="2"/>
      <c r="D521" s="1"/>
    </row>
    <row r="522" ht="27.0" customHeight="1">
      <c r="C522" s="2"/>
      <c r="D522" s="1"/>
    </row>
    <row r="523" ht="27.0" customHeight="1">
      <c r="C523" s="2"/>
      <c r="D523" s="1"/>
    </row>
    <row r="524" ht="27.0" customHeight="1">
      <c r="C524" s="2"/>
      <c r="D524" s="1"/>
    </row>
    <row r="525" ht="27.0" customHeight="1">
      <c r="C525" s="2"/>
      <c r="D525" s="1"/>
    </row>
    <row r="526" ht="27.0" customHeight="1">
      <c r="C526" s="2"/>
      <c r="D526" s="1"/>
    </row>
    <row r="527" ht="27.0" customHeight="1">
      <c r="C527" s="2"/>
      <c r="D527" s="1"/>
    </row>
    <row r="528" ht="27.0" customHeight="1">
      <c r="C528" s="2"/>
      <c r="D528" s="1"/>
    </row>
    <row r="529" ht="27.0" customHeight="1">
      <c r="C529" s="2"/>
      <c r="D529" s="1"/>
    </row>
    <row r="530" ht="27.0" customHeight="1">
      <c r="C530" s="2"/>
      <c r="D530" s="1"/>
    </row>
    <row r="531" ht="27.0" customHeight="1">
      <c r="C531" s="2"/>
      <c r="D531" s="1"/>
    </row>
    <row r="532" ht="27.0" customHeight="1">
      <c r="C532" s="2"/>
      <c r="D532" s="1"/>
    </row>
    <row r="533" ht="27.0" customHeight="1">
      <c r="C533" s="2"/>
      <c r="D533" s="1"/>
    </row>
    <row r="534" ht="27.0" customHeight="1">
      <c r="C534" s="2"/>
      <c r="D534" s="1"/>
    </row>
    <row r="535" ht="27.0" customHeight="1">
      <c r="C535" s="2"/>
      <c r="D535" s="1"/>
    </row>
    <row r="536" ht="27.0" customHeight="1">
      <c r="C536" s="2"/>
      <c r="D536" s="1"/>
    </row>
    <row r="537" ht="27.0" customHeight="1">
      <c r="C537" s="2"/>
      <c r="D537" s="1"/>
    </row>
    <row r="538" ht="27.0" customHeight="1">
      <c r="C538" s="2"/>
      <c r="D538" s="1"/>
    </row>
    <row r="539" ht="27.0" customHeight="1">
      <c r="C539" s="2"/>
      <c r="D539" s="1"/>
    </row>
    <row r="540" ht="27.0" customHeight="1">
      <c r="C540" s="2"/>
      <c r="D540" s="1"/>
    </row>
    <row r="541" ht="27.0" customHeight="1">
      <c r="C541" s="2"/>
      <c r="D541" s="1"/>
    </row>
    <row r="542" ht="27.0" customHeight="1">
      <c r="C542" s="2"/>
      <c r="D542" s="1"/>
    </row>
    <row r="543" ht="27.0" customHeight="1">
      <c r="C543" s="2"/>
      <c r="D543" s="1"/>
    </row>
    <row r="544" ht="27.0" customHeight="1">
      <c r="C544" s="2"/>
      <c r="D544" s="1"/>
    </row>
    <row r="545" ht="27.0" customHeight="1">
      <c r="C545" s="2"/>
      <c r="D545" s="1"/>
    </row>
    <row r="546" ht="27.0" customHeight="1">
      <c r="C546" s="2"/>
      <c r="D546" s="1"/>
    </row>
    <row r="547" ht="27.0" customHeight="1">
      <c r="C547" s="2"/>
      <c r="D547" s="1"/>
    </row>
    <row r="548" ht="27.0" customHeight="1">
      <c r="C548" s="2"/>
      <c r="D548" s="1"/>
    </row>
    <row r="549" ht="27.0" customHeight="1">
      <c r="C549" s="2"/>
      <c r="D549" s="1"/>
    </row>
    <row r="550" ht="27.0" customHeight="1">
      <c r="C550" s="2"/>
      <c r="D550" s="1"/>
    </row>
    <row r="551" ht="27.0" customHeight="1">
      <c r="C551" s="2"/>
      <c r="D551" s="1"/>
    </row>
    <row r="552" ht="27.0" customHeight="1">
      <c r="C552" s="2"/>
      <c r="D552" s="1"/>
    </row>
    <row r="553" ht="27.0" customHeight="1">
      <c r="C553" s="2"/>
      <c r="D553" s="1"/>
    </row>
    <row r="554" ht="27.0" customHeight="1">
      <c r="C554" s="2"/>
      <c r="D554" s="1"/>
    </row>
    <row r="555" ht="27.0" customHeight="1">
      <c r="C555" s="2"/>
      <c r="D555" s="1"/>
    </row>
    <row r="556" ht="27.0" customHeight="1">
      <c r="C556" s="2"/>
      <c r="D556" s="1"/>
    </row>
    <row r="557" ht="27.0" customHeight="1">
      <c r="C557" s="2"/>
      <c r="D557" s="1"/>
    </row>
    <row r="558" ht="27.0" customHeight="1">
      <c r="C558" s="2"/>
      <c r="D558" s="1"/>
    </row>
    <row r="559" ht="27.0" customHeight="1">
      <c r="C559" s="2"/>
      <c r="D559" s="1"/>
    </row>
    <row r="560" ht="27.0" customHeight="1">
      <c r="C560" s="2"/>
      <c r="D560" s="1"/>
    </row>
    <row r="561" ht="27.0" customHeight="1">
      <c r="C561" s="2"/>
      <c r="D561" s="1"/>
    </row>
    <row r="562" ht="27.0" customHeight="1">
      <c r="C562" s="2"/>
      <c r="D562" s="1"/>
    </row>
    <row r="563" ht="27.0" customHeight="1">
      <c r="C563" s="2"/>
      <c r="D563" s="1"/>
    </row>
    <row r="564" ht="27.0" customHeight="1">
      <c r="C564" s="2"/>
      <c r="D564" s="1"/>
    </row>
    <row r="565" ht="27.0" customHeight="1">
      <c r="C565" s="2"/>
      <c r="D565" s="1"/>
    </row>
    <row r="566" ht="27.0" customHeight="1">
      <c r="C566" s="2"/>
      <c r="D566" s="1"/>
    </row>
    <row r="567" ht="27.0" customHeight="1">
      <c r="C567" s="2"/>
      <c r="D567" s="1"/>
    </row>
    <row r="568" ht="27.0" customHeight="1">
      <c r="C568" s="2"/>
      <c r="D568" s="1"/>
    </row>
    <row r="569" ht="27.0" customHeight="1">
      <c r="C569" s="2"/>
      <c r="D569" s="1"/>
    </row>
    <row r="570" ht="27.0" customHeight="1">
      <c r="C570" s="2"/>
      <c r="D570" s="1"/>
    </row>
    <row r="571" ht="27.0" customHeight="1">
      <c r="C571" s="2"/>
      <c r="D571" s="1"/>
    </row>
    <row r="572" ht="27.0" customHeight="1">
      <c r="C572" s="2"/>
      <c r="D572" s="1"/>
    </row>
    <row r="573" ht="27.0" customHeight="1">
      <c r="C573" s="2"/>
      <c r="D573" s="1"/>
    </row>
    <row r="574" ht="27.0" customHeight="1">
      <c r="C574" s="2"/>
      <c r="D574" s="1"/>
    </row>
    <row r="575" ht="27.0" customHeight="1">
      <c r="C575" s="2"/>
      <c r="D575" s="1"/>
    </row>
    <row r="576" ht="27.0" customHeight="1">
      <c r="C576" s="2"/>
      <c r="D576" s="1"/>
    </row>
    <row r="577" ht="27.0" customHeight="1">
      <c r="C577" s="2"/>
      <c r="D577" s="1"/>
    </row>
    <row r="578" ht="27.0" customHeight="1">
      <c r="C578" s="2"/>
      <c r="D578" s="1"/>
    </row>
    <row r="579" ht="27.0" customHeight="1">
      <c r="C579" s="2"/>
      <c r="D579" s="1"/>
    </row>
    <row r="580" ht="27.0" customHeight="1">
      <c r="C580" s="2"/>
      <c r="D580" s="1"/>
    </row>
    <row r="581" ht="27.0" customHeight="1">
      <c r="C581" s="2"/>
      <c r="D581" s="1"/>
    </row>
    <row r="582" ht="27.0" customHeight="1">
      <c r="C582" s="2"/>
      <c r="D582" s="1"/>
    </row>
    <row r="583" ht="27.0" customHeight="1">
      <c r="C583" s="2"/>
      <c r="D583" s="1"/>
    </row>
    <row r="584" ht="27.0" customHeight="1">
      <c r="C584" s="2"/>
      <c r="D584" s="1"/>
    </row>
    <row r="585" ht="27.0" customHeight="1">
      <c r="C585" s="2"/>
      <c r="D585" s="1"/>
    </row>
    <row r="586" ht="27.0" customHeight="1">
      <c r="C586" s="2"/>
      <c r="D586" s="1"/>
    </row>
    <row r="587" ht="27.0" customHeight="1">
      <c r="C587" s="2"/>
      <c r="D587" s="1"/>
    </row>
    <row r="588" ht="27.0" customHeight="1">
      <c r="C588" s="2"/>
      <c r="D588" s="1"/>
    </row>
    <row r="589" ht="27.0" customHeight="1">
      <c r="C589" s="2"/>
      <c r="D589" s="1"/>
    </row>
    <row r="590" ht="27.0" customHeight="1">
      <c r="C590" s="2"/>
      <c r="D590" s="1"/>
    </row>
    <row r="591" ht="27.0" customHeight="1">
      <c r="C591" s="2"/>
      <c r="D591" s="1"/>
    </row>
    <row r="592" ht="27.0" customHeight="1">
      <c r="C592" s="2"/>
      <c r="D592" s="1"/>
    </row>
    <row r="593" ht="27.0" customHeight="1">
      <c r="C593" s="2"/>
      <c r="D593" s="1"/>
    </row>
    <row r="594" ht="27.0" customHeight="1">
      <c r="C594" s="2"/>
      <c r="D594" s="1"/>
    </row>
    <row r="595" ht="27.0" customHeight="1">
      <c r="C595" s="2"/>
      <c r="D595" s="1"/>
    </row>
    <row r="596" ht="27.0" customHeight="1">
      <c r="C596" s="2"/>
      <c r="D596" s="1"/>
    </row>
    <row r="597" ht="27.0" customHeight="1">
      <c r="C597" s="2"/>
      <c r="D597" s="1"/>
    </row>
    <row r="598" ht="27.0" customHeight="1">
      <c r="C598" s="2"/>
      <c r="D598" s="1"/>
    </row>
    <row r="599" ht="27.0" customHeight="1">
      <c r="C599" s="2"/>
      <c r="D599" s="1"/>
    </row>
    <row r="600" ht="27.0" customHeight="1">
      <c r="C600" s="2"/>
      <c r="D600" s="1"/>
    </row>
    <row r="601" ht="27.0" customHeight="1">
      <c r="C601" s="2"/>
      <c r="D601" s="1"/>
    </row>
    <row r="602" ht="27.0" customHeight="1">
      <c r="C602" s="2"/>
      <c r="D602" s="1"/>
    </row>
    <row r="603" ht="27.0" customHeight="1">
      <c r="C603" s="2"/>
      <c r="D603" s="1"/>
    </row>
    <row r="604" ht="27.0" customHeight="1">
      <c r="C604" s="2"/>
      <c r="D604" s="1"/>
    </row>
    <row r="605" ht="27.0" customHeight="1">
      <c r="C605" s="2"/>
      <c r="D605" s="1"/>
    </row>
    <row r="606" ht="27.0" customHeight="1">
      <c r="C606" s="2"/>
      <c r="D606" s="1"/>
    </row>
    <row r="607" ht="27.0" customHeight="1">
      <c r="C607" s="2"/>
      <c r="D607" s="1"/>
    </row>
    <row r="608" ht="27.0" customHeight="1">
      <c r="C608" s="2"/>
      <c r="D608" s="1"/>
    </row>
    <row r="609" ht="27.0" customHeight="1">
      <c r="C609" s="2"/>
      <c r="D609" s="1"/>
    </row>
    <row r="610" ht="27.0" customHeight="1">
      <c r="C610" s="2"/>
      <c r="D610" s="1"/>
    </row>
    <row r="611" ht="27.0" customHeight="1">
      <c r="C611" s="2"/>
      <c r="D611" s="1"/>
    </row>
    <row r="612" ht="27.0" customHeight="1">
      <c r="C612" s="2"/>
      <c r="D612" s="1"/>
    </row>
    <row r="613" ht="27.0" customHeight="1">
      <c r="C613" s="2"/>
      <c r="D613" s="1"/>
    </row>
    <row r="614" ht="27.0" customHeight="1">
      <c r="C614" s="2"/>
      <c r="D614" s="1"/>
    </row>
    <row r="615" ht="27.0" customHeight="1">
      <c r="C615" s="2"/>
      <c r="D615" s="1"/>
    </row>
    <row r="616" ht="27.0" customHeight="1">
      <c r="C616" s="2"/>
      <c r="D616" s="1"/>
    </row>
    <row r="617" ht="27.0" customHeight="1">
      <c r="C617" s="2"/>
      <c r="D617" s="1"/>
    </row>
    <row r="618" ht="27.0" customHeight="1">
      <c r="C618" s="2"/>
      <c r="D618" s="1"/>
    </row>
    <row r="619" ht="27.0" customHeight="1">
      <c r="C619" s="2"/>
      <c r="D619" s="1"/>
    </row>
    <row r="620" ht="27.0" customHeight="1">
      <c r="C620" s="2"/>
      <c r="D620" s="1"/>
    </row>
    <row r="621" ht="27.0" customHeight="1">
      <c r="C621" s="2"/>
      <c r="D621" s="1"/>
    </row>
    <row r="622" ht="27.0" customHeight="1">
      <c r="C622" s="2"/>
      <c r="D622" s="1"/>
    </row>
    <row r="623" ht="27.0" customHeight="1">
      <c r="C623" s="2"/>
      <c r="D623" s="1"/>
    </row>
    <row r="624" ht="27.0" customHeight="1">
      <c r="C624" s="2"/>
      <c r="D624" s="1"/>
    </row>
    <row r="625" ht="27.0" customHeight="1">
      <c r="C625" s="2"/>
      <c r="D625" s="1"/>
    </row>
    <row r="626" ht="27.0" customHeight="1">
      <c r="C626" s="2"/>
      <c r="D626" s="1"/>
    </row>
    <row r="627" ht="27.0" customHeight="1">
      <c r="C627" s="2"/>
      <c r="D627" s="1"/>
    </row>
    <row r="628" ht="27.0" customHeight="1">
      <c r="C628" s="2"/>
      <c r="D628" s="1"/>
    </row>
    <row r="629" ht="27.0" customHeight="1">
      <c r="C629" s="2"/>
      <c r="D629" s="1"/>
    </row>
    <row r="630" ht="27.0" customHeight="1">
      <c r="C630" s="2"/>
      <c r="D630" s="1"/>
    </row>
    <row r="631" ht="27.0" customHeight="1">
      <c r="C631" s="2"/>
      <c r="D631" s="1"/>
    </row>
    <row r="632" ht="27.0" customHeight="1">
      <c r="C632" s="2"/>
      <c r="D632" s="1"/>
    </row>
    <row r="633" ht="27.0" customHeight="1">
      <c r="C633" s="2"/>
      <c r="D633" s="1"/>
    </row>
    <row r="634" ht="27.0" customHeight="1">
      <c r="C634" s="2"/>
      <c r="D634" s="1"/>
    </row>
    <row r="635" ht="27.0" customHeight="1">
      <c r="C635" s="2"/>
      <c r="D635" s="1"/>
    </row>
    <row r="636" ht="27.0" customHeight="1">
      <c r="C636" s="2"/>
      <c r="D636" s="1"/>
    </row>
    <row r="637" ht="27.0" customHeight="1">
      <c r="C637" s="2"/>
      <c r="D637" s="1"/>
    </row>
    <row r="638" ht="27.0" customHeight="1">
      <c r="C638" s="2"/>
      <c r="D638" s="1"/>
    </row>
    <row r="639" ht="27.0" customHeight="1">
      <c r="C639" s="2"/>
      <c r="D639" s="1"/>
    </row>
    <row r="640" ht="27.0" customHeight="1">
      <c r="C640" s="2"/>
      <c r="D640" s="1"/>
    </row>
    <row r="641" ht="27.0" customHeight="1">
      <c r="C641" s="2"/>
      <c r="D641" s="1"/>
    </row>
    <row r="642" ht="27.0" customHeight="1">
      <c r="C642" s="2"/>
      <c r="D642" s="1"/>
    </row>
    <row r="643" ht="27.0" customHeight="1">
      <c r="C643" s="2"/>
      <c r="D643" s="1"/>
    </row>
    <row r="644" ht="27.0" customHeight="1">
      <c r="C644" s="2"/>
      <c r="D644" s="1"/>
    </row>
    <row r="645" ht="27.0" customHeight="1">
      <c r="C645" s="2"/>
      <c r="D645" s="1"/>
    </row>
    <row r="646" ht="27.0" customHeight="1">
      <c r="C646" s="2"/>
      <c r="D646" s="1"/>
    </row>
    <row r="647" ht="27.0" customHeight="1">
      <c r="C647" s="2"/>
      <c r="D647" s="1"/>
    </row>
    <row r="648" ht="27.0" customHeight="1">
      <c r="C648" s="2"/>
      <c r="D648" s="1"/>
    </row>
    <row r="649" ht="27.0" customHeight="1">
      <c r="C649" s="2"/>
      <c r="D649" s="1"/>
    </row>
    <row r="650" ht="27.0" customHeight="1">
      <c r="C650" s="2"/>
      <c r="D650" s="1"/>
    </row>
    <row r="651" ht="27.0" customHeight="1">
      <c r="C651" s="2"/>
      <c r="D651" s="1"/>
    </row>
    <row r="652" ht="27.0" customHeight="1">
      <c r="C652" s="2"/>
      <c r="D652" s="1"/>
    </row>
    <row r="653" ht="27.0" customHeight="1">
      <c r="C653" s="2"/>
      <c r="D653" s="1"/>
    </row>
    <row r="654" ht="27.0" customHeight="1">
      <c r="C654" s="2"/>
      <c r="D654" s="1"/>
    </row>
    <row r="655" ht="27.0" customHeight="1">
      <c r="C655" s="2"/>
      <c r="D655" s="1"/>
    </row>
    <row r="656" ht="27.0" customHeight="1">
      <c r="C656" s="2"/>
      <c r="D656" s="1"/>
    </row>
    <row r="657" ht="27.0" customHeight="1">
      <c r="C657" s="2"/>
      <c r="D657" s="1"/>
    </row>
    <row r="658" ht="27.0" customHeight="1">
      <c r="C658" s="2"/>
      <c r="D658" s="1"/>
    </row>
    <row r="659" ht="27.0" customHeight="1">
      <c r="C659" s="2"/>
      <c r="D659" s="1"/>
    </row>
    <row r="660" ht="27.0" customHeight="1">
      <c r="C660" s="2"/>
      <c r="D660" s="1"/>
    </row>
    <row r="661" ht="27.0" customHeight="1">
      <c r="C661" s="2"/>
      <c r="D661" s="1"/>
    </row>
    <row r="662" ht="27.0" customHeight="1">
      <c r="C662" s="2"/>
      <c r="D662" s="1"/>
    </row>
    <row r="663" ht="27.0" customHeight="1">
      <c r="C663" s="2"/>
      <c r="D663" s="1"/>
    </row>
    <row r="664" ht="27.0" customHeight="1">
      <c r="C664" s="2"/>
      <c r="D664" s="1"/>
    </row>
    <row r="665" ht="27.0" customHeight="1">
      <c r="C665" s="2"/>
      <c r="D665" s="1"/>
    </row>
    <row r="666" ht="27.0" customHeight="1">
      <c r="C666" s="2"/>
      <c r="D666" s="1"/>
    </row>
    <row r="667" ht="27.0" customHeight="1">
      <c r="C667" s="2"/>
      <c r="D667" s="1"/>
    </row>
    <row r="668" ht="27.0" customHeight="1">
      <c r="C668" s="2"/>
      <c r="D668" s="1"/>
    </row>
    <row r="669" ht="27.0" customHeight="1">
      <c r="C669" s="2"/>
      <c r="D669" s="1"/>
    </row>
    <row r="670" ht="27.0" customHeight="1">
      <c r="C670" s="2"/>
      <c r="D670" s="1"/>
    </row>
    <row r="671" ht="27.0" customHeight="1">
      <c r="C671" s="2"/>
      <c r="D671" s="1"/>
    </row>
    <row r="672" ht="27.0" customHeight="1">
      <c r="C672" s="2"/>
      <c r="D672" s="1"/>
    </row>
    <row r="673" ht="27.0" customHeight="1">
      <c r="C673" s="2"/>
      <c r="D673" s="1"/>
    </row>
    <row r="674" ht="27.0" customHeight="1">
      <c r="C674" s="2"/>
      <c r="D674" s="1"/>
    </row>
    <row r="675" ht="27.0" customHeight="1">
      <c r="C675" s="2"/>
      <c r="D675" s="1"/>
    </row>
    <row r="676" ht="27.0" customHeight="1">
      <c r="C676" s="2"/>
      <c r="D676" s="1"/>
    </row>
    <row r="677" ht="27.0" customHeight="1">
      <c r="C677" s="2"/>
      <c r="D677" s="1"/>
    </row>
    <row r="678" ht="27.0" customHeight="1">
      <c r="C678" s="2"/>
      <c r="D678" s="1"/>
    </row>
    <row r="679" ht="27.0" customHeight="1">
      <c r="C679" s="2"/>
      <c r="D679" s="1"/>
    </row>
    <row r="680" ht="27.0" customHeight="1">
      <c r="C680" s="2"/>
      <c r="D680" s="1"/>
    </row>
    <row r="681" ht="27.0" customHeight="1">
      <c r="C681" s="2"/>
      <c r="D681" s="1"/>
    </row>
    <row r="682" ht="27.0" customHeight="1">
      <c r="C682" s="2"/>
      <c r="D682" s="1"/>
    </row>
    <row r="683" ht="27.0" customHeight="1">
      <c r="C683" s="2"/>
      <c r="D683" s="1"/>
    </row>
    <row r="684" ht="27.0" customHeight="1">
      <c r="C684" s="2"/>
      <c r="D684" s="1"/>
    </row>
    <row r="685" ht="27.0" customHeight="1">
      <c r="C685" s="2"/>
      <c r="D685" s="1"/>
    </row>
    <row r="686" ht="27.0" customHeight="1">
      <c r="C686" s="2"/>
      <c r="D686" s="1"/>
    </row>
    <row r="687" ht="27.0" customHeight="1">
      <c r="C687" s="2"/>
      <c r="D687" s="1"/>
    </row>
    <row r="688" ht="27.0" customHeight="1">
      <c r="C688" s="2"/>
      <c r="D688" s="1"/>
    </row>
    <row r="689" ht="27.0" customHeight="1">
      <c r="C689" s="2"/>
      <c r="D689" s="1"/>
    </row>
    <row r="690" ht="27.0" customHeight="1">
      <c r="C690" s="2"/>
      <c r="D690" s="1"/>
    </row>
    <row r="691" ht="27.0" customHeight="1">
      <c r="C691" s="2"/>
      <c r="D691" s="1"/>
    </row>
    <row r="692" ht="27.0" customHeight="1">
      <c r="C692" s="2"/>
      <c r="D692" s="1"/>
    </row>
    <row r="693" ht="27.0" customHeight="1">
      <c r="C693" s="2"/>
      <c r="D693" s="1"/>
    </row>
    <row r="694" ht="27.0" customHeight="1">
      <c r="C694" s="2"/>
      <c r="D694" s="1"/>
    </row>
    <row r="695" ht="27.0" customHeight="1">
      <c r="C695" s="2"/>
      <c r="D695" s="1"/>
    </row>
    <row r="696" ht="27.0" customHeight="1">
      <c r="C696" s="2"/>
      <c r="D696" s="1"/>
    </row>
    <row r="697" ht="27.0" customHeight="1">
      <c r="C697" s="2"/>
      <c r="D697" s="1"/>
    </row>
    <row r="698" ht="27.0" customHeight="1">
      <c r="C698" s="2"/>
      <c r="D698" s="1"/>
    </row>
    <row r="699" ht="27.0" customHeight="1">
      <c r="C699" s="2"/>
      <c r="D699" s="1"/>
    </row>
    <row r="700" ht="27.0" customHeight="1">
      <c r="C700" s="2"/>
      <c r="D700" s="1"/>
    </row>
    <row r="701" ht="27.0" customHeight="1">
      <c r="C701" s="2"/>
      <c r="D701" s="1"/>
    </row>
    <row r="702" ht="27.0" customHeight="1">
      <c r="C702" s="2"/>
      <c r="D702" s="1"/>
    </row>
    <row r="703" ht="27.0" customHeight="1">
      <c r="C703" s="2"/>
      <c r="D703" s="1"/>
    </row>
    <row r="704" ht="27.0" customHeight="1">
      <c r="C704" s="2"/>
      <c r="D704" s="1"/>
    </row>
    <row r="705" ht="27.0" customHeight="1">
      <c r="C705" s="2"/>
      <c r="D705" s="1"/>
    </row>
    <row r="706" ht="27.0" customHeight="1">
      <c r="C706" s="2"/>
      <c r="D706" s="1"/>
    </row>
    <row r="707" ht="27.0" customHeight="1">
      <c r="C707" s="2"/>
      <c r="D707" s="1"/>
    </row>
    <row r="708" ht="27.0" customHeight="1">
      <c r="C708" s="2"/>
      <c r="D708" s="1"/>
    </row>
    <row r="709" ht="27.0" customHeight="1">
      <c r="C709" s="2"/>
      <c r="D709" s="1"/>
    </row>
    <row r="710" ht="27.0" customHeight="1">
      <c r="C710" s="2"/>
      <c r="D710" s="1"/>
    </row>
    <row r="711" ht="27.0" customHeight="1">
      <c r="C711" s="2"/>
      <c r="D711" s="1"/>
    </row>
    <row r="712" ht="27.0" customHeight="1">
      <c r="C712" s="2"/>
      <c r="D712" s="1"/>
    </row>
    <row r="713" ht="27.0" customHeight="1">
      <c r="C713" s="2"/>
      <c r="D713" s="1"/>
    </row>
    <row r="714" ht="27.0" customHeight="1">
      <c r="C714" s="2"/>
      <c r="D714" s="1"/>
    </row>
    <row r="715" ht="27.0" customHeight="1">
      <c r="C715" s="2"/>
      <c r="D715" s="1"/>
    </row>
    <row r="716" ht="27.0" customHeight="1">
      <c r="C716" s="2"/>
      <c r="D716" s="1"/>
    </row>
    <row r="717" ht="27.0" customHeight="1">
      <c r="C717" s="2"/>
      <c r="D717" s="1"/>
    </row>
    <row r="718" ht="27.0" customHeight="1">
      <c r="C718" s="2"/>
      <c r="D718" s="1"/>
    </row>
    <row r="719" ht="27.0" customHeight="1">
      <c r="C719" s="2"/>
      <c r="D719" s="1"/>
    </row>
    <row r="720" ht="27.0" customHeight="1">
      <c r="C720" s="2"/>
      <c r="D720" s="1"/>
    </row>
    <row r="721" ht="27.0" customHeight="1">
      <c r="C721" s="2"/>
      <c r="D721" s="1"/>
    </row>
    <row r="722" ht="27.0" customHeight="1">
      <c r="C722" s="2"/>
      <c r="D722" s="1"/>
    </row>
    <row r="723" ht="27.0" customHeight="1">
      <c r="C723" s="2"/>
      <c r="D723" s="1"/>
    </row>
    <row r="724" ht="27.0" customHeight="1">
      <c r="C724" s="2"/>
      <c r="D724" s="1"/>
    </row>
    <row r="725" ht="27.0" customHeight="1">
      <c r="C725" s="2"/>
      <c r="D725" s="1"/>
    </row>
    <row r="726" ht="27.0" customHeight="1">
      <c r="C726" s="2"/>
      <c r="D726" s="1"/>
    </row>
    <row r="727" ht="27.0" customHeight="1">
      <c r="C727" s="2"/>
      <c r="D727" s="1"/>
    </row>
    <row r="728" ht="27.0" customHeight="1">
      <c r="C728" s="2"/>
      <c r="D728" s="1"/>
    </row>
    <row r="729" ht="27.0" customHeight="1">
      <c r="C729" s="2"/>
      <c r="D729" s="1"/>
    </row>
    <row r="730" ht="27.0" customHeight="1">
      <c r="C730" s="2"/>
      <c r="D730" s="1"/>
    </row>
    <row r="731" ht="27.0" customHeight="1">
      <c r="C731" s="2"/>
      <c r="D731" s="1"/>
    </row>
    <row r="732" ht="27.0" customHeight="1">
      <c r="C732" s="2"/>
      <c r="D732" s="1"/>
    </row>
    <row r="733" ht="27.0" customHeight="1">
      <c r="C733" s="2"/>
      <c r="D733" s="1"/>
    </row>
    <row r="734" ht="27.0" customHeight="1">
      <c r="C734" s="2"/>
      <c r="D734" s="1"/>
    </row>
    <row r="735" ht="27.0" customHeight="1">
      <c r="C735" s="2"/>
      <c r="D735" s="1"/>
    </row>
    <row r="736" ht="27.0" customHeight="1">
      <c r="C736" s="2"/>
      <c r="D736" s="1"/>
    </row>
    <row r="737" ht="27.0" customHeight="1">
      <c r="C737" s="2"/>
      <c r="D737" s="1"/>
    </row>
    <row r="738" ht="27.0" customHeight="1">
      <c r="C738" s="2"/>
      <c r="D738" s="1"/>
    </row>
    <row r="739" ht="27.0" customHeight="1">
      <c r="C739" s="2"/>
      <c r="D739" s="1"/>
    </row>
    <row r="740" ht="27.0" customHeight="1">
      <c r="C740" s="2"/>
      <c r="D740" s="1"/>
    </row>
    <row r="741" ht="27.0" customHeight="1">
      <c r="C741" s="2"/>
      <c r="D741" s="1"/>
    </row>
    <row r="742" ht="27.0" customHeight="1">
      <c r="C742" s="2"/>
      <c r="D742" s="1"/>
    </row>
    <row r="743" ht="27.0" customHeight="1">
      <c r="C743" s="2"/>
      <c r="D743" s="1"/>
    </row>
    <row r="744" ht="27.0" customHeight="1">
      <c r="C744" s="2"/>
      <c r="D744" s="1"/>
    </row>
    <row r="745" ht="27.0" customHeight="1">
      <c r="C745" s="2"/>
      <c r="D745" s="1"/>
    </row>
    <row r="746" ht="27.0" customHeight="1">
      <c r="C746" s="2"/>
      <c r="D746" s="1"/>
    </row>
    <row r="747" ht="27.0" customHeight="1">
      <c r="C747" s="2"/>
      <c r="D747" s="1"/>
    </row>
    <row r="748" ht="27.0" customHeight="1">
      <c r="C748" s="2"/>
      <c r="D748" s="1"/>
    </row>
    <row r="749" ht="27.0" customHeight="1">
      <c r="C749" s="2"/>
      <c r="D749" s="1"/>
    </row>
    <row r="750" ht="27.0" customHeight="1">
      <c r="C750" s="2"/>
      <c r="D750" s="1"/>
    </row>
    <row r="751" ht="27.0" customHeight="1">
      <c r="C751" s="2"/>
      <c r="D751" s="1"/>
    </row>
    <row r="752" ht="27.0" customHeight="1">
      <c r="C752" s="2"/>
      <c r="D752" s="1"/>
    </row>
    <row r="753" ht="27.0" customHeight="1">
      <c r="C753" s="2"/>
      <c r="D753" s="1"/>
    </row>
    <row r="754" ht="27.0" customHeight="1">
      <c r="C754" s="2"/>
      <c r="D754" s="1"/>
    </row>
    <row r="755" ht="27.0" customHeight="1">
      <c r="C755" s="2"/>
      <c r="D755" s="1"/>
    </row>
    <row r="756" ht="27.0" customHeight="1">
      <c r="C756" s="2"/>
      <c r="D756" s="1"/>
    </row>
    <row r="757" ht="27.0" customHeight="1">
      <c r="C757" s="2"/>
      <c r="D757" s="1"/>
    </row>
    <row r="758" ht="27.0" customHeight="1">
      <c r="C758" s="2"/>
      <c r="D758" s="1"/>
    </row>
    <row r="759" ht="27.0" customHeight="1">
      <c r="C759" s="2"/>
      <c r="D759" s="1"/>
    </row>
    <row r="760" ht="27.0" customHeight="1">
      <c r="C760" s="2"/>
      <c r="D760" s="1"/>
    </row>
    <row r="761" ht="27.0" customHeight="1">
      <c r="C761" s="2"/>
      <c r="D761" s="1"/>
    </row>
    <row r="762" ht="27.0" customHeight="1">
      <c r="C762" s="2"/>
      <c r="D762" s="1"/>
    </row>
    <row r="763" ht="27.0" customHeight="1">
      <c r="C763" s="2"/>
      <c r="D763" s="1"/>
    </row>
    <row r="764" ht="27.0" customHeight="1">
      <c r="C764" s="2"/>
      <c r="D764" s="1"/>
    </row>
    <row r="765" ht="27.0" customHeight="1">
      <c r="C765" s="2"/>
      <c r="D765" s="1"/>
    </row>
    <row r="766" ht="27.0" customHeight="1">
      <c r="C766" s="2"/>
      <c r="D766" s="1"/>
    </row>
    <row r="767" ht="27.0" customHeight="1">
      <c r="C767" s="2"/>
      <c r="D767" s="1"/>
    </row>
    <row r="768" ht="27.0" customHeight="1">
      <c r="C768" s="2"/>
      <c r="D768" s="1"/>
    </row>
    <row r="769" ht="27.0" customHeight="1">
      <c r="C769" s="2"/>
      <c r="D769" s="1"/>
    </row>
    <row r="770" ht="27.0" customHeight="1">
      <c r="C770" s="2"/>
      <c r="D770" s="1"/>
    </row>
    <row r="771" ht="27.0" customHeight="1">
      <c r="C771" s="2"/>
      <c r="D771" s="1"/>
    </row>
    <row r="772" ht="27.0" customHeight="1">
      <c r="C772" s="2"/>
      <c r="D772" s="1"/>
    </row>
    <row r="773" ht="27.0" customHeight="1">
      <c r="C773" s="2"/>
      <c r="D773" s="1"/>
    </row>
    <row r="774" ht="27.0" customHeight="1">
      <c r="C774" s="2"/>
      <c r="D774" s="1"/>
    </row>
    <row r="775" ht="27.0" customHeight="1">
      <c r="C775" s="2"/>
      <c r="D775" s="1"/>
    </row>
    <row r="776" ht="27.0" customHeight="1">
      <c r="C776" s="2"/>
      <c r="D776" s="1"/>
    </row>
    <row r="777" ht="27.0" customHeight="1">
      <c r="C777" s="2"/>
      <c r="D777" s="1"/>
    </row>
    <row r="778" ht="27.0" customHeight="1">
      <c r="C778" s="2"/>
      <c r="D778" s="1"/>
    </row>
    <row r="779" ht="27.0" customHeight="1">
      <c r="C779" s="2"/>
      <c r="D779" s="1"/>
    </row>
    <row r="780" ht="27.0" customHeight="1">
      <c r="C780" s="2"/>
      <c r="D780" s="1"/>
    </row>
    <row r="781" ht="27.0" customHeight="1">
      <c r="C781" s="2"/>
      <c r="D781" s="1"/>
    </row>
    <row r="782" ht="27.0" customHeight="1">
      <c r="C782" s="2"/>
      <c r="D782" s="1"/>
    </row>
    <row r="783" ht="27.0" customHeight="1">
      <c r="C783" s="2"/>
      <c r="D783" s="1"/>
    </row>
    <row r="784" ht="27.0" customHeight="1">
      <c r="C784" s="2"/>
      <c r="D784" s="1"/>
    </row>
    <row r="785" ht="27.0" customHeight="1">
      <c r="C785" s="2"/>
      <c r="D785" s="1"/>
    </row>
    <row r="786" ht="27.0" customHeight="1">
      <c r="C786" s="2"/>
      <c r="D786" s="1"/>
    </row>
    <row r="787" ht="27.0" customHeight="1">
      <c r="C787" s="2"/>
      <c r="D787" s="1"/>
    </row>
    <row r="788" ht="27.0" customHeight="1">
      <c r="C788" s="2"/>
      <c r="D788" s="1"/>
    </row>
    <row r="789" ht="27.0" customHeight="1">
      <c r="C789" s="2"/>
      <c r="D789" s="1"/>
    </row>
    <row r="790" ht="27.0" customHeight="1">
      <c r="C790" s="2"/>
      <c r="D790" s="1"/>
    </row>
    <row r="791" ht="27.0" customHeight="1">
      <c r="C791" s="2"/>
      <c r="D791" s="1"/>
    </row>
    <row r="792" ht="27.0" customHeight="1">
      <c r="C792" s="2"/>
      <c r="D792" s="1"/>
    </row>
    <row r="793" ht="27.0" customHeight="1">
      <c r="C793" s="2"/>
      <c r="D793" s="1"/>
    </row>
    <row r="794" ht="27.0" customHeight="1">
      <c r="C794" s="2"/>
      <c r="D794" s="1"/>
    </row>
    <row r="795" ht="27.0" customHeight="1">
      <c r="C795" s="2"/>
      <c r="D795" s="1"/>
    </row>
    <row r="796" ht="27.0" customHeight="1">
      <c r="C796" s="2"/>
      <c r="D796" s="1"/>
    </row>
    <row r="797" ht="27.0" customHeight="1">
      <c r="C797" s="2"/>
      <c r="D797" s="1"/>
    </row>
    <row r="798" ht="27.0" customHeight="1">
      <c r="C798" s="2"/>
      <c r="D798" s="1"/>
    </row>
    <row r="799" ht="27.0" customHeight="1">
      <c r="C799" s="2"/>
      <c r="D799" s="1"/>
    </row>
    <row r="800" ht="27.0" customHeight="1">
      <c r="C800" s="2"/>
      <c r="D800" s="1"/>
    </row>
    <row r="801" ht="27.0" customHeight="1">
      <c r="C801" s="2"/>
      <c r="D801" s="1"/>
    </row>
    <row r="802" ht="27.0" customHeight="1">
      <c r="C802" s="2"/>
      <c r="D802" s="1"/>
    </row>
    <row r="803" ht="27.0" customHeight="1">
      <c r="C803" s="2"/>
      <c r="D803" s="1"/>
    </row>
    <row r="804" ht="27.0" customHeight="1">
      <c r="C804" s="2"/>
      <c r="D804" s="1"/>
    </row>
    <row r="805" ht="27.0" customHeight="1">
      <c r="C805" s="2"/>
      <c r="D805" s="1"/>
    </row>
    <row r="806" ht="27.0" customHeight="1">
      <c r="C806" s="2"/>
      <c r="D806" s="1"/>
    </row>
    <row r="807" ht="27.0" customHeight="1">
      <c r="C807" s="2"/>
      <c r="D807" s="1"/>
    </row>
    <row r="808" ht="27.0" customHeight="1">
      <c r="C808" s="2"/>
      <c r="D808" s="1"/>
    </row>
    <row r="809" ht="27.0" customHeight="1">
      <c r="C809" s="2"/>
      <c r="D809" s="1"/>
    </row>
    <row r="810" ht="27.0" customHeight="1">
      <c r="C810" s="2"/>
      <c r="D810" s="1"/>
    </row>
    <row r="811" ht="27.0" customHeight="1">
      <c r="C811" s="2"/>
      <c r="D811" s="1"/>
    </row>
    <row r="812" ht="27.0" customHeight="1">
      <c r="C812" s="2"/>
      <c r="D812" s="1"/>
    </row>
    <row r="813" ht="27.0" customHeight="1">
      <c r="C813" s="2"/>
      <c r="D813" s="1"/>
    </row>
    <row r="814" ht="27.0" customHeight="1">
      <c r="C814" s="2"/>
      <c r="D814" s="1"/>
    </row>
    <row r="815" ht="27.0" customHeight="1">
      <c r="C815" s="2"/>
      <c r="D815" s="1"/>
    </row>
    <row r="816" ht="27.0" customHeight="1">
      <c r="C816" s="2"/>
      <c r="D816" s="1"/>
    </row>
    <row r="817" ht="27.0" customHeight="1">
      <c r="C817" s="2"/>
      <c r="D817" s="1"/>
    </row>
    <row r="818" ht="27.0" customHeight="1">
      <c r="C818" s="2"/>
      <c r="D818" s="1"/>
    </row>
    <row r="819" ht="27.0" customHeight="1">
      <c r="C819" s="2"/>
      <c r="D819" s="1"/>
    </row>
    <row r="820" ht="27.0" customHeight="1">
      <c r="C820" s="2"/>
      <c r="D820" s="1"/>
    </row>
    <row r="821" ht="27.0" customHeight="1">
      <c r="C821" s="2"/>
      <c r="D821" s="1"/>
    </row>
    <row r="822" ht="27.0" customHeight="1">
      <c r="C822" s="2"/>
      <c r="D822" s="1"/>
    </row>
    <row r="823" ht="27.0" customHeight="1">
      <c r="C823" s="2"/>
      <c r="D823" s="1"/>
    </row>
    <row r="824" ht="27.0" customHeight="1">
      <c r="C824" s="2"/>
      <c r="D824" s="1"/>
    </row>
    <row r="825" ht="27.0" customHeight="1">
      <c r="C825" s="2"/>
      <c r="D825" s="1"/>
    </row>
    <row r="826" ht="27.0" customHeight="1">
      <c r="C826" s="2"/>
      <c r="D826" s="1"/>
    </row>
    <row r="827" ht="27.0" customHeight="1">
      <c r="C827" s="2"/>
      <c r="D827" s="1"/>
    </row>
    <row r="828" ht="27.0" customHeight="1">
      <c r="C828" s="2"/>
      <c r="D828" s="1"/>
    </row>
    <row r="829" ht="27.0" customHeight="1">
      <c r="C829" s="2"/>
      <c r="D829" s="1"/>
    </row>
    <row r="830" ht="27.0" customHeight="1">
      <c r="C830" s="2"/>
      <c r="D830" s="1"/>
    </row>
    <row r="831" ht="27.0" customHeight="1">
      <c r="C831" s="2"/>
      <c r="D831" s="1"/>
    </row>
    <row r="832" ht="27.0" customHeight="1">
      <c r="C832" s="2"/>
      <c r="D832" s="1"/>
    </row>
    <row r="833" ht="27.0" customHeight="1">
      <c r="C833" s="2"/>
      <c r="D833" s="1"/>
    </row>
    <row r="834" ht="27.0" customHeight="1">
      <c r="C834" s="2"/>
      <c r="D834" s="1"/>
    </row>
    <row r="835" ht="27.0" customHeight="1">
      <c r="C835" s="2"/>
      <c r="D835" s="1"/>
    </row>
    <row r="836" ht="27.0" customHeight="1">
      <c r="C836" s="2"/>
      <c r="D836" s="1"/>
    </row>
    <row r="837" ht="27.0" customHeight="1">
      <c r="C837" s="2"/>
      <c r="D837" s="1"/>
    </row>
    <row r="838" ht="27.0" customHeight="1">
      <c r="C838" s="2"/>
      <c r="D838" s="1"/>
    </row>
    <row r="839" ht="27.0" customHeight="1">
      <c r="C839" s="2"/>
      <c r="D839" s="1"/>
    </row>
    <row r="840" ht="27.0" customHeight="1">
      <c r="C840" s="2"/>
      <c r="D840" s="1"/>
    </row>
    <row r="841" ht="27.0" customHeight="1">
      <c r="C841" s="2"/>
      <c r="D841" s="1"/>
    </row>
    <row r="842" ht="27.0" customHeight="1">
      <c r="C842" s="2"/>
      <c r="D842" s="1"/>
    </row>
    <row r="843" ht="27.0" customHeight="1">
      <c r="C843" s="2"/>
      <c r="D843" s="1"/>
    </row>
    <row r="844" ht="27.0" customHeight="1">
      <c r="C844" s="2"/>
      <c r="D844" s="1"/>
    </row>
    <row r="845" ht="27.0" customHeight="1">
      <c r="C845" s="2"/>
      <c r="D845" s="1"/>
    </row>
    <row r="846" ht="27.0" customHeight="1">
      <c r="C846" s="2"/>
      <c r="D846" s="1"/>
    </row>
    <row r="847" ht="27.0" customHeight="1">
      <c r="C847" s="2"/>
      <c r="D847" s="1"/>
    </row>
    <row r="848" ht="27.0" customHeight="1">
      <c r="C848" s="2"/>
      <c r="D848" s="1"/>
    </row>
    <row r="849" ht="27.0" customHeight="1">
      <c r="C849" s="2"/>
      <c r="D849" s="1"/>
    </row>
    <row r="850" ht="27.0" customHeight="1">
      <c r="C850" s="2"/>
      <c r="D850" s="1"/>
    </row>
    <row r="851" ht="27.0" customHeight="1">
      <c r="C851" s="2"/>
      <c r="D851" s="1"/>
    </row>
    <row r="852" ht="27.0" customHeight="1">
      <c r="C852" s="2"/>
      <c r="D852" s="1"/>
    </row>
    <row r="853" ht="27.0" customHeight="1">
      <c r="C853" s="2"/>
      <c r="D853" s="1"/>
    </row>
    <row r="854" ht="27.0" customHeight="1">
      <c r="C854" s="2"/>
      <c r="D854" s="1"/>
    </row>
    <row r="855" ht="27.0" customHeight="1">
      <c r="C855" s="2"/>
      <c r="D855" s="1"/>
    </row>
    <row r="856" ht="27.0" customHeight="1">
      <c r="C856" s="2"/>
      <c r="D856" s="1"/>
    </row>
    <row r="857" ht="27.0" customHeight="1">
      <c r="C857" s="2"/>
      <c r="D857" s="1"/>
    </row>
    <row r="858" ht="27.0" customHeight="1">
      <c r="C858" s="2"/>
      <c r="D858" s="1"/>
    </row>
    <row r="859" ht="27.0" customHeight="1">
      <c r="C859" s="2"/>
      <c r="D859" s="1"/>
    </row>
    <row r="860" ht="27.0" customHeight="1">
      <c r="C860" s="2"/>
      <c r="D860" s="1"/>
    </row>
    <row r="861" ht="27.0" customHeight="1">
      <c r="C861" s="2"/>
      <c r="D861" s="1"/>
    </row>
    <row r="862" ht="27.0" customHeight="1">
      <c r="C862" s="2"/>
      <c r="D862" s="1"/>
    </row>
    <row r="863" ht="27.0" customHeight="1">
      <c r="C863" s="2"/>
      <c r="D863" s="1"/>
    </row>
    <row r="864" ht="27.0" customHeight="1">
      <c r="C864" s="2"/>
      <c r="D864" s="1"/>
    </row>
    <row r="865" ht="27.0" customHeight="1">
      <c r="C865" s="2"/>
      <c r="D865" s="1"/>
    </row>
    <row r="866" ht="27.0" customHeight="1">
      <c r="C866" s="2"/>
      <c r="D866" s="1"/>
    </row>
    <row r="867" ht="27.0" customHeight="1">
      <c r="C867" s="2"/>
      <c r="D867" s="1"/>
    </row>
    <row r="868" ht="27.0" customHeight="1">
      <c r="C868" s="2"/>
      <c r="D868" s="1"/>
    </row>
    <row r="869" ht="27.0" customHeight="1">
      <c r="C869" s="2"/>
      <c r="D869" s="1"/>
    </row>
    <row r="870" ht="27.0" customHeight="1">
      <c r="C870" s="2"/>
      <c r="D870" s="1"/>
    </row>
    <row r="871" ht="27.0" customHeight="1">
      <c r="C871" s="2"/>
      <c r="D871" s="1"/>
    </row>
    <row r="872" ht="27.0" customHeight="1">
      <c r="C872" s="2"/>
      <c r="D872" s="1"/>
    </row>
    <row r="873" ht="27.0" customHeight="1">
      <c r="C873" s="2"/>
      <c r="D873" s="1"/>
    </row>
    <row r="874" ht="27.0" customHeight="1">
      <c r="C874" s="2"/>
      <c r="D874" s="1"/>
    </row>
    <row r="875" ht="27.0" customHeight="1">
      <c r="C875" s="2"/>
      <c r="D875" s="1"/>
    </row>
    <row r="876" ht="27.0" customHeight="1">
      <c r="C876" s="2"/>
      <c r="D876" s="1"/>
    </row>
    <row r="877" ht="27.0" customHeight="1">
      <c r="C877" s="2"/>
      <c r="D877" s="1"/>
    </row>
    <row r="878" ht="27.0" customHeight="1">
      <c r="C878" s="2"/>
      <c r="D878" s="1"/>
    </row>
    <row r="879" ht="27.0" customHeight="1">
      <c r="C879" s="2"/>
      <c r="D879" s="1"/>
    </row>
    <row r="880" ht="27.0" customHeight="1">
      <c r="C880" s="2"/>
      <c r="D880" s="1"/>
    </row>
    <row r="881" ht="27.0" customHeight="1">
      <c r="C881" s="2"/>
      <c r="D881" s="1"/>
    </row>
    <row r="882" ht="27.0" customHeight="1">
      <c r="C882" s="2"/>
      <c r="D882" s="1"/>
    </row>
    <row r="883" ht="27.0" customHeight="1">
      <c r="C883" s="2"/>
      <c r="D883" s="1"/>
    </row>
    <row r="884" ht="27.0" customHeight="1">
      <c r="C884" s="2"/>
      <c r="D884" s="1"/>
    </row>
    <row r="885" ht="27.0" customHeight="1">
      <c r="C885" s="2"/>
      <c r="D885" s="1"/>
    </row>
    <row r="886" ht="27.0" customHeight="1">
      <c r="C886" s="2"/>
      <c r="D886" s="1"/>
    </row>
    <row r="887" ht="27.0" customHeight="1">
      <c r="C887" s="2"/>
      <c r="D887" s="1"/>
    </row>
    <row r="888" ht="27.0" customHeight="1">
      <c r="C888" s="2"/>
      <c r="D888" s="1"/>
    </row>
    <row r="889" ht="27.0" customHeight="1">
      <c r="C889" s="2"/>
      <c r="D889" s="1"/>
    </row>
    <row r="890" ht="27.0" customHeight="1">
      <c r="C890" s="2"/>
      <c r="D890" s="1"/>
    </row>
    <row r="891" ht="27.0" customHeight="1">
      <c r="C891" s="2"/>
      <c r="D891" s="1"/>
    </row>
    <row r="892" ht="27.0" customHeight="1">
      <c r="C892" s="2"/>
      <c r="D892" s="1"/>
    </row>
    <row r="893" ht="27.0" customHeight="1">
      <c r="C893" s="2"/>
      <c r="D893" s="1"/>
    </row>
    <row r="894" ht="27.0" customHeight="1">
      <c r="C894" s="2"/>
      <c r="D894" s="1"/>
    </row>
    <row r="895" ht="27.0" customHeight="1">
      <c r="C895" s="2"/>
      <c r="D895" s="1"/>
    </row>
    <row r="896" ht="27.0" customHeight="1">
      <c r="C896" s="2"/>
      <c r="D896" s="1"/>
    </row>
    <row r="897" ht="27.0" customHeight="1">
      <c r="C897" s="2"/>
      <c r="D897" s="1"/>
    </row>
    <row r="898" ht="27.0" customHeight="1">
      <c r="C898" s="2"/>
      <c r="D898" s="1"/>
    </row>
    <row r="899" ht="27.0" customHeight="1">
      <c r="C899" s="2"/>
      <c r="D899" s="1"/>
    </row>
    <row r="900" ht="27.0" customHeight="1">
      <c r="C900" s="2"/>
      <c r="D900" s="1"/>
    </row>
    <row r="901" ht="27.0" customHeight="1">
      <c r="C901" s="2"/>
      <c r="D901" s="1"/>
    </row>
    <row r="902" ht="27.0" customHeight="1">
      <c r="C902" s="2"/>
      <c r="D902" s="1"/>
    </row>
    <row r="903" ht="27.0" customHeight="1">
      <c r="C903" s="2"/>
      <c r="D903" s="1"/>
    </row>
    <row r="904" ht="27.0" customHeight="1">
      <c r="C904" s="2"/>
      <c r="D904" s="1"/>
    </row>
    <row r="905" ht="27.0" customHeight="1">
      <c r="C905" s="2"/>
      <c r="D905" s="1"/>
    </row>
    <row r="906" ht="27.0" customHeight="1">
      <c r="C906" s="2"/>
      <c r="D906" s="1"/>
    </row>
    <row r="907" ht="27.0" customHeight="1">
      <c r="C907" s="2"/>
      <c r="D907" s="1"/>
    </row>
    <row r="908" ht="27.0" customHeight="1">
      <c r="C908" s="2"/>
      <c r="D908" s="1"/>
    </row>
    <row r="909" ht="27.0" customHeight="1">
      <c r="C909" s="2"/>
      <c r="D909" s="1"/>
    </row>
    <row r="910" ht="27.0" customHeight="1">
      <c r="C910" s="2"/>
      <c r="D910" s="1"/>
    </row>
    <row r="911" ht="27.0" customHeight="1">
      <c r="C911" s="2"/>
      <c r="D911" s="1"/>
    </row>
    <row r="912" ht="27.0" customHeight="1">
      <c r="C912" s="2"/>
      <c r="D912" s="1"/>
    </row>
    <row r="913" ht="27.0" customHeight="1">
      <c r="C913" s="2"/>
      <c r="D913" s="1"/>
    </row>
    <row r="914" ht="27.0" customHeight="1">
      <c r="C914" s="2"/>
      <c r="D914" s="1"/>
    </row>
    <row r="915" ht="27.0" customHeight="1">
      <c r="C915" s="2"/>
      <c r="D915" s="1"/>
    </row>
    <row r="916" ht="27.0" customHeight="1">
      <c r="C916" s="2"/>
      <c r="D916" s="1"/>
    </row>
    <row r="917" ht="27.0" customHeight="1">
      <c r="C917" s="2"/>
      <c r="D917" s="1"/>
    </row>
    <row r="918" ht="27.0" customHeight="1">
      <c r="C918" s="2"/>
      <c r="D918" s="1"/>
    </row>
    <row r="919" ht="27.0" customHeight="1">
      <c r="C919" s="2"/>
      <c r="D919" s="1"/>
    </row>
    <row r="920" ht="27.0" customHeight="1">
      <c r="C920" s="2"/>
      <c r="D920" s="1"/>
    </row>
    <row r="921" ht="27.0" customHeight="1">
      <c r="C921" s="2"/>
      <c r="D921" s="1"/>
    </row>
    <row r="922" ht="27.0" customHeight="1">
      <c r="C922" s="2"/>
      <c r="D922" s="1"/>
    </row>
    <row r="923" ht="27.0" customHeight="1">
      <c r="C923" s="2"/>
      <c r="D923" s="1"/>
    </row>
    <row r="924" ht="27.0" customHeight="1">
      <c r="C924" s="2"/>
      <c r="D924" s="1"/>
    </row>
    <row r="925" ht="27.0" customHeight="1">
      <c r="C925" s="2"/>
      <c r="D925" s="1"/>
    </row>
    <row r="926" ht="27.0" customHeight="1">
      <c r="C926" s="2"/>
      <c r="D926" s="1"/>
    </row>
    <row r="927" ht="27.0" customHeight="1">
      <c r="C927" s="2"/>
      <c r="D927" s="1"/>
    </row>
    <row r="928" ht="27.0" customHeight="1">
      <c r="C928" s="2"/>
      <c r="D928" s="1"/>
    </row>
    <row r="929" ht="27.0" customHeight="1">
      <c r="C929" s="2"/>
      <c r="D929" s="1"/>
    </row>
    <row r="930" ht="27.0" customHeight="1">
      <c r="C930" s="2"/>
      <c r="D930" s="1"/>
    </row>
    <row r="931" ht="27.0" customHeight="1">
      <c r="C931" s="2"/>
      <c r="D931" s="1"/>
    </row>
    <row r="932" ht="27.0" customHeight="1">
      <c r="C932" s="2"/>
      <c r="D932" s="1"/>
    </row>
    <row r="933" ht="27.0" customHeight="1">
      <c r="C933" s="2"/>
      <c r="D933" s="1"/>
    </row>
    <row r="934" ht="27.0" customHeight="1">
      <c r="C934" s="2"/>
      <c r="D934" s="1"/>
    </row>
    <row r="935" ht="27.0" customHeight="1">
      <c r="C935" s="2"/>
      <c r="D935" s="1"/>
    </row>
    <row r="936" ht="27.0" customHeight="1">
      <c r="C936" s="2"/>
      <c r="D936" s="1"/>
    </row>
    <row r="937" ht="27.0" customHeight="1">
      <c r="C937" s="2"/>
      <c r="D937" s="1"/>
    </row>
    <row r="938" ht="27.0" customHeight="1">
      <c r="C938" s="2"/>
      <c r="D938" s="1"/>
    </row>
    <row r="939" ht="27.0" customHeight="1">
      <c r="C939" s="2"/>
      <c r="D939" s="1"/>
    </row>
    <row r="940" ht="27.0" customHeight="1">
      <c r="C940" s="2"/>
      <c r="D940" s="1"/>
    </row>
    <row r="941" ht="27.0" customHeight="1">
      <c r="C941" s="2"/>
      <c r="D941" s="1"/>
    </row>
    <row r="942" ht="27.0" customHeight="1">
      <c r="C942" s="2"/>
      <c r="D942" s="1"/>
    </row>
    <row r="943" ht="27.0" customHeight="1">
      <c r="C943" s="2"/>
      <c r="D943" s="1"/>
    </row>
    <row r="944" ht="27.0" customHeight="1">
      <c r="C944" s="2"/>
      <c r="D944" s="1"/>
    </row>
    <row r="945" ht="27.0" customHeight="1">
      <c r="C945" s="2"/>
      <c r="D945" s="1"/>
    </row>
    <row r="946" ht="27.0" customHeight="1">
      <c r="C946" s="2"/>
      <c r="D946" s="1"/>
    </row>
    <row r="947" ht="27.0" customHeight="1">
      <c r="C947" s="2"/>
      <c r="D947" s="1"/>
    </row>
    <row r="948" ht="27.0" customHeight="1">
      <c r="C948" s="2"/>
      <c r="D948" s="1"/>
    </row>
    <row r="949" ht="27.0" customHeight="1">
      <c r="C949" s="2"/>
      <c r="D949" s="1"/>
    </row>
    <row r="950" ht="27.0" customHeight="1">
      <c r="C950" s="2"/>
      <c r="D950" s="1"/>
    </row>
    <row r="951" ht="27.0" customHeight="1">
      <c r="C951" s="2"/>
      <c r="D951" s="1"/>
    </row>
    <row r="952" ht="27.0" customHeight="1">
      <c r="C952" s="2"/>
      <c r="D952" s="1"/>
    </row>
    <row r="953" ht="27.0" customHeight="1">
      <c r="C953" s="2"/>
      <c r="D953" s="1"/>
    </row>
    <row r="954" ht="27.0" customHeight="1">
      <c r="C954" s="2"/>
      <c r="D954" s="1"/>
    </row>
    <row r="955" ht="27.0" customHeight="1">
      <c r="C955" s="2"/>
      <c r="D955" s="1"/>
    </row>
    <row r="956" ht="27.0" customHeight="1">
      <c r="C956" s="2"/>
      <c r="D956" s="1"/>
    </row>
    <row r="957" ht="27.0" customHeight="1">
      <c r="C957" s="2"/>
      <c r="D957" s="1"/>
    </row>
    <row r="958" ht="27.0" customHeight="1">
      <c r="C958" s="2"/>
      <c r="D958" s="1"/>
    </row>
    <row r="959" ht="27.0" customHeight="1">
      <c r="C959" s="2"/>
      <c r="D959" s="1"/>
    </row>
    <row r="960" ht="27.0" customHeight="1">
      <c r="C960" s="2"/>
      <c r="D960" s="1"/>
    </row>
    <row r="961" ht="27.0" customHeight="1">
      <c r="C961" s="2"/>
      <c r="D961" s="1"/>
    </row>
    <row r="962" ht="27.0" customHeight="1">
      <c r="C962" s="2"/>
      <c r="D962" s="1"/>
    </row>
    <row r="963" ht="27.0" customHeight="1">
      <c r="C963" s="2"/>
      <c r="D963" s="1"/>
    </row>
    <row r="964" ht="27.0" customHeight="1">
      <c r="C964" s="2"/>
      <c r="D964" s="1"/>
    </row>
    <row r="965" ht="27.0" customHeight="1">
      <c r="C965" s="2"/>
      <c r="D965" s="1"/>
    </row>
    <row r="966" ht="27.0" customHeight="1">
      <c r="C966" s="2"/>
      <c r="D966" s="1"/>
    </row>
    <row r="967" ht="27.0" customHeight="1">
      <c r="C967" s="2"/>
      <c r="D967" s="1"/>
    </row>
    <row r="968" ht="27.0" customHeight="1">
      <c r="C968" s="2"/>
      <c r="D968" s="1"/>
    </row>
    <row r="969" ht="27.0" customHeight="1">
      <c r="C969" s="2"/>
      <c r="D969" s="1"/>
    </row>
    <row r="970" ht="27.0" customHeight="1">
      <c r="C970" s="2"/>
      <c r="D970" s="1"/>
    </row>
    <row r="971" ht="27.0" customHeight="1">
      <c r="C971" s="2"/>
      <c r="D971" s="1"/>
    </row>
    <row r="972" ht="27.0" customHeight="1">
      <c r="C972" s="2"/>
      <c r="D972" s="1"/>
    </row>
    <row r="973" ht="27.0" customHeight="1">
      <c r="C973" s="2"/>
      <c r="D973" s="1"/>
    </row>
    <row r="974" ht="27.0" customHeight="1">
      <c r="C974" s="2"/>
      <c r="D974" s="1"/>
    </row>
    <row r="975" ht="27.0" customHeight="1">
      <c r="C975" s="2"/>
      <c r="D975" s="1"/>
    </row>
    <row r="976" ht="27.0" customHeight="1">
      <c r="C976" s="2"/>
      <c r="D976" s="1"/>
    </row>
    <row r="977" ht="27.0" customHeight="1">
      <c r="C977" s="2"/>
      <c r="D977" s="1"/>
    </row>
    <row r="978" ht="27.0" customHeight="1">
      <c r="C978" s="2"/>
      <c r="D978" s="1"/>
    </row>
    <row r="979" ht="27.0" customHeight="1">
      <c r="C979" s="2"/>
      <c r="D979" s="1"/>
    </row>
    <row r="980" ht="27.0" customHeight="1">
      <c r="C980" s="2"/>
      <c r="D980" s="1"/>
    </row>
    <row r="981" ht="27.0" customHeight="1">
      <c r="C981" s="2"/>
      <c r="D981" s="1"/>
    </row>
    <row r="982" ht="27.0" customHeight="1">
      <c r="C982" s="2"/>
      <c r="D982" s="1"/>
    </row>
    <row r="983" ht="27.0" customHeight="1">
      <c r="C983" s="2"/>
      <c r="D983" s="1"/>
    </row>
    <row r="984" ht="27.0" customHeight="1">
      <c r="C984" s="2"/>
      <c r="D984" s="1"/>
    </row>
    <row r="985" ht="27.0" customHeight="1">
      <c r="C985" s="2"/>
      <c r="D985" s="1"/>
    </row>
    <row r="986" ht="27.0" customHeight="1">
      <c r="C986" s="2"/>
      <c r="D986" s="1"/>
    </row>
    <row r="987" ht="27.0" customHeight="1">
      <c r="C987" s="2"/>
      <c r="D987" s="1"/>
    </row>
    <row r="988" ht="27.0" customHeight="1">
      <c r="C988" s="2"/>
      <c r="D988" s="1"/>
    </row>
    <row r="989" ht="27.0" customHeight="1">
      <c r="C989" s="2"/>
      <c r="D989" s="1"/>
    </row>
    <row r="990" ht="27.0" customHeight="1">
      <c r="C990" s="2"/>
      <c r="D990" s="1"/>
    </row>
    <row r="991" ht="27.0" customHeight="1">
      <c r="C991" s="2"/>
      <c r="D991" s="1"/>
    </row>
    <row r="992" ht="27.0" customHeight="1">
      <c r="C992" s="2"/>
      <c r="D992" s="1"/>
    </row>
    <row r="993" ht="27.0" customHeight="1">
      <c r="C993" s="2"/>
      <c r="D993" s="1"/>
    </row>
    <row r="994" ht="27.0" customHeight="1">
      <c r="C994" s="2"/>
      <c r="D994" s="1"/>
    </row>
    <row r="995" ht="27.0" customHeight="1">
      <c r="C995" s="2"/>
      <c r="D995" s="1"/>
    </row>
    <row r="996" ht="27.0" customHeight="1">
      <c r="C996" s="2"/>
      <c r="D996" s="1"/>
    </row>
    <row r="997" ht="27.0" customHeight="1">
      <c r="C997" s="2"/>
      <c r="D997" s="1"/>
    </row>
    <row r="998" ht="27.0" customHeight="1">
      <c r="C998" s="2"/>
      <c r="D998" s="1"/>
    </row>
    <row r="999" ht="27.0" customHeight="1">
      <c r="C999" s="2"/>
      <c r="D999" s="1"/>
    </row>
    <row r="1000" ht="27.0" customHeight="1">
      <c r="C1000" s="2"/>
      <c r="D1000" s="1"/>
    </row>
  </sheetData>
  <autoFilter ref="$B$7:$O$42"/>
  <mergeCells count="5">
    <mergeCell ref="C2:D2"/>
    <mergeCell ref="E2:E4"/>
    <mergeCell ref="H2:J4"/>
    <mergeCell ref="C3:D3"/>
    <mergeCell ref="C4:D4"/>
  </mergeCells>
  <conditionalFormatting sqref="I12:I23 I25:I27 I29:I30 I32:I34">
    <cfRule type="expression" dxfId="0" priority="1">
      <formula>"g5=max($G$5,$G$12,$G$19,$G$24,$G$29)"</formula>
    </cfRule>
  </conditionalFormatting>
  <conditionalFormatting sqref="H13 H25:H27 H29 H32:H34">
    <cfRule type="cellIs" dxfId="1" priority="2" operator="equal">
      <formula>"M"</formula>
    </cfRule>
  </conditionalFormatting>
  <conditionalFormatting sqref="H13 H25:H27 H29 H32:H34">
    <cfRule type="cellIs" dxfId="2" priority="3" operator="equal">
      <formula>"L"</formula>
    </cfRule>
  </conditionalFormatting>
  <conditionalFormatting sqref="H13 H25:H27 H29 H32:H34">
    <cfRule type="cellIs" dxfId="3" priority="4" operator="equal">
      <formula>"H"</formula>
    </cfRule>
  </conditionalFormatting>
  <conditionalFormatting sqref="H36 H39 H41">
    <cfRule type="cellIs" dxfId="1" priority="5" operator="equal">
      <formula>"M"</formula>
    </cfRule>
  </conditionalFormatting>
  <conditionalFormatting sqref="H36 H39 H41">
    <cfRule type="cellIs" dxfId="2" priority="6" operator="equal">
      <formula>"L"</formula>
    </cfRule>
  </conditionalFormatting>
  <conditionalFormatting sqref="H36 H39 H41">
    <cfRule type="cellIs" dxfId="3" priority="7" operator="equal">
      <formula>"H"</formula>
    </cfRule>
  </conditionalFormatting>
  <conditionalFormatting sqref="H19:H23">
    <cfRule type="cellIs" dxfId="1" priority="8" operator="equal">
      <formula>"M"</formula>
    </cfRule>
  </conditionalFormatting>
  <conditionalFormatting sqref="H19:H23">
    <cfRule type="cellIs" dxfId="2" priority="9" operator="equal">
      <formula>"L"</formula>
    </cfRule>
  </conditionalFormatting>
  <conditionalFormatting sqref="H19:H23">
    <cfRule type="cellIs" dxfId="3" priority="10" operator="equal">
      <formula>"H"</formula>
    </cfRule>
  </conditionalFormatting>
  <conditionalFormatting sqref="H14:H18">
    <cfRule type="cellIs" dxfId="1" priority="11" operator="equal">
      <formula>"M"</formula>
    </cfRule>
  </conditionalFormatting>
  <conditionalFormatting sqref="H14:H18">
    <cfRule type="cellIs" dxfId="2" priority="12" operator="equal">
      <formula>"L"</formula>
    </cfRule>
  </conditionalFormatting>
  <conditionalFormatting sqref="H14:H18">
    <cfRule type="cellIs" dxfId="3" priority="13" operator="equal">
      <formula>"H"</formula>
    </cfRule>
  </conditionalFormatting>
  <conditionalFormatting sqref="H8">
    <cfRule type="cellIs" dxfId="1" priority="14" operator="equal">
      <formula>"M"</formula>
    </cfRule>
  </conditionalFormatting>
  <conditionalFormatting sqref="H8">
    <cfRule type="cellIs" dxfId="2" priority="15" operator="equal">
      <formula>"L"</formula>
    </cfRule>
  </conditionalFormatting>
  <conditionalFormatting sqref="H8">
    <cfRule type="cellIs" dxfId="3" priority="16" operator="equal">
      <formula>"H"</formula>
    </cfRule>
  </conditionalFormatting>
  <conditionalFormatting sqref="H9:H11">
    <cfRule type="cellIs" dxfId="1" priority="17" operator="equal">
      <formula>"M"</formula>
    </cfRule>
  </conditionalFormatting>
  <conditionalFormatting sqref="H9:H11">
    <cfRule type="cellIs" dxfId="2" priority="18" operator="equal">
      <formula>"L"</formula>
    </cfRule>
  </conditionalFormatting>
  <conditionalFormatting sqref="H9:H11">
    <cfRule type="cellIs" dxfId="3" priority="19" operator="equal">
      <formula>"H"</formula>
    </cfRule>
  </conditionalFormatting>
  <conditionalFormatting sqref="H43 H46">
    <cfRule type="cellIs" dxfId="2" priority="20" operator="equal">
      <formula>"L"</formula>
    </cfRule>
  </conditionalFormatting>
  <conditionalFormatting sqref="H43 H46">
    <cfRule type="cellIs" dxfId="3" priority="21" operator="equal">
      <formula>"H"</formula>
    </cfRule>
  </conditionalFormatting>
  <conditionalFormatting sqref="H43 H46">
    <cfRule type="cellIs" dxfId="1" priority="22" operator="equal">
      <formula>"M"</formula>
    </cfRule>
  </conditionalFormatting>
  <conditionalFormatting sqref="H49 H54:H56">
    <cfRule type="cellIs" dxfId="2" priority="23" operator="equal">
      <formula>"L"</formula>
    </cfRule>
  </conditionalFormatting>
  <conditionalFormatting sqref="H49 H54:H56">
    <cfRule type="cellIs" dxfId="1" priority="24" operator="equal">
      <formula>"M"</formula>
    </cfRule>
  </conditionalFormatting>
  <conditionalFormatting sqref="H49 H54:H56">
    <cfRule type="cellIs" dxfId="3" priority="25" operator="equal">
      <formula>"H"</formula>
    </cfRule>
  </conditionalFormatting>
  <conditionalFormatting sqref="H30">
    <cfRule type="cellIs" dxfId="1" priority="26" operator="equal">
      <formula>"M"</formula>
    </cfRule>
  </conditionalFormatting>
  <conditionalFormatting sqref="H30">
    <cfRule type="cellIs" dxfId="2" priority="27" operator="equal">
      <formula>"L"</formula>
    </cfRule>
  </conditionalFormatting>
  <conditionalFormatting sqref="H30">
    <cfRule type="cellIs" dxfId="3" priority="28" operator="equal">
      <formula>"H"</formula>
    </cfRule>
  </conditionalFormatting>
  <conditionalFormatting sqref="H37">
    <cfRule type="cellIs" dxfId="1" priority="29" operator="equal">
      <formula>"M"</formula>
    </cfRule>
  </conditionalFormatting>
  <conditionalFormatting sqref="H37">
    <cfRule type="cellIs" dxfId="2" priority="30" operator="equal">
      <formula>"L"</formula>
    </cfRule>
  </conditionalFormatting>
  <conditionalFormatting sqref="H37">
    <cfRule type="cellIs" dxfId="3" priority="31" operator="equal">
      <formula>"H"</formula>
    </cfRule>
  </conditionalFormatting>
  <conditionalFormatting sqref="H38">
    <cfRule type="cellIs" dxfId="1" priority="32" operator="equal">
      <formula>"M"</formula>
    </cfRule>
  </conditionalFormatting>
  <conditionalFormatting sqref="H38">
    <cfRule type="cellIs" dxfId="2" priority="33" operator="equal">
      <formula>"L"</formula>
    </cfRule>
  </conditionalFormatting>
  <conditionalFormatting sqref="H38">
    <cfRule type="cellIs" dxfId="3" priority="34" operator="equal">
      <formula>"H"</formula>
    </cfRule>
  </conditionalFormatting>
  <conditionalFormatting sqref="H40">
    <cfRule type="cellIs" dxfId="1" priority="35" operator="equal">
      <formula>"M"</formula>
    </cfRule>
  </conditionalFormatting>
  <conditionalFormatting sqref="H40">
    <cfRule type="cellIs" dxfId="2" priority="36" operator="equal">
      <formula>"L"</formula>
    </cfRule>
  </conditionalFormatting>
  <conditionalFormatting sqref="H40">
    <cfRule type="cellIs" dxfId="3" priority="37" operator="equal">
      <formula>"H"</formula>
    </cfRule>
  </conditionalFormatting>
  <conditionalFormatting sqref="H44:H45">
    <cfRule type="cellIs" dxfId="1" priority="38" operator="equal">
      <formula>"M"</formula>
    </cfRule>
  </conditionalFormatting>
  <conditionalFormatting sqref="H44:H45">
    <cfRule type="cellIs" dxfId="2" priority="39" operator="equal">
      <formula>"L"</formula>
    </cfRule>
  </conditionalFormatting>
  <conditionalFormatting sqref="H44:H45">
    <cfRule type="cellIs" dxfId="3" priority="40" operator="equal">
      <formula>"H"</formula>
    </cfRule>
  </conditionalFormatting>
  <conditionalFormatting sqref="H47">
    <cfRule type="cellIs" dxfId="1" priority="41" operator="equal">
      <formula>"M"</formula>
    </cfRule>
  </conditionalFormatting>
  <conditionalFormatting sqref="H47">
    <cfRule type="cellIs" dxfId="2" priority="42" operator="equal">
      <formula>"L"</formula>
    </cfRule>
  </conditionalFormatting>
  <conditionalFormatting sqref="H47">
    <cfRule type="cellIs" dxfId="3" priority="43" operator="equal">
      <formula>"H"</formula>
    </cfRule>
  </conditionalFormatting>
  <conditionalFormatting sqref="H50:H53">
    <cfRule type="cellIs" dxfId="1" priority="44" operator="equal">
      <formula>"M"</formula>
    </cfRule>
  </conditionalFormatting>
  <conditionalFormatting sqref="H50:H53">
    <cfRule type="cellIs" dxfId="2" priority="45" operator="equal">
      <formula>"L"</formula>
    </cfRule>
  </conditionalFormatting>
  <conditionalFormatting sqref="H50:H53">
    <cfRule type="cellIs" dxfId="3" priority="46" operator="equal">
      <formula>"H"</formula>
    </cfRule>
  </conditionalFormatting>
  <dataValidations>
    <dataValidation type="list" allowBlank="1" showInputMessage="1" showErrorMessage="1" prompt=" - " sqref="H8:H11 H13:H23 H25:H27 H29:H30 H32:H34 H36:H41 H43:H47 H49:H56">
      <formula1>"L,M,H"</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2.63" defaultRowHeight="15.0" outlineLevelCol="2"/>
  <cols>
    <col customWidth="1" min="1" max="1" width="2.13"/>
    <col customWidth="1" min="2" max="2" width="10.13" outlineLevel="2"/>
    <col customWidth="1" min="3" max="3" width="25.5" outlineLevel="2"/>
    <col customWidth="1" min="4" max="4" width="11.13" outlineLevel="2"/>
    <col customWidth="1" min="5" max="5" width="53.63" outlineLevel="2"/>
    <col customWidth="1" min="6" max="6" width="56.38" outlineLevel="1"/>
    <col customWidth="1" min="7" max="7" width="41.63" outlineLevel="1"/>
    <col customWidth="1" hidden="1" min="8" max="8" width="6.88" outlineLevel="2"/>
    <col customWidth="1" min="9" max="9" width="10.13" outlineLevel="1"/>
    <col customWidth="1" min="10" max="10" width="17.0" outlineLevel="1"/>
    <col customWidth="1" min="11" max="11" width="13.38" outlineLevel="1"/>
    <col customWidth="1" min="12" max="12" width="0.88"/>
    <col customWidth="1" min="13" max="13" width="77.13"/>
    <col customWidth="1" min="14" max="26" width="10.0"/>
  </cols>
  <sheetData>
    <row r="1" ht="27.0" customHeight="1">
      <c r="C1" s="1"/>
      <c r="D1" s="1"/>
      <c r="E1" s="1"/>
      <c r="G1" s="2"/>
    </row>
    <row r="2" ht="27.0" customHeight="1">
      <c r="B2" s="3" t="s">
        <v>0</v>
      </c>
      <c r="C2" s="4"/>
      <c r="D2" s="5"/>
      <c r="E2" s="6" t="s">
        <v>1</v>
      </c>
      <c r="F2" s="8"/>
      <c r="G2" s="9" t="s">
        <v>2</v>
      </c>
      <c r="H2" s="10">
        <f>COUNTIF(I8:I50,"H")</f>
        <v>0</v>
      </c>
      <c r="I2" s="11"/>
      <c r="J2" s="12"/>
      <c r="K2" s="13"/>
      <c r="L2" s="14"/>
      <c r="M2" s="15" t="s">
        <v>3</v>
      </c>
    </row>
    <row r="3" ht="27.0" customHeight="1">
      <c r="B3" s="16" t="s">
        <v>5</v>
      </c>
      <c r="C3" s="17"/>
      <c r="D3" s="18"/>
      <c r="E3" s="19"/>
      <c r="F3" s="21"/>
      <c r="G3" s="22" t="s">
        <v>6</v>
      </c>
      <c r="H3" s="23">
        <f>COUNTIF(I8:I50,"M")</f>
        <v>0</v>
      </c>
      <c r="I3" s="19"/>
      <c r="K3" s="24"/>
      <c r="L3" s="14"/>
      <c r="M3" s="25" t="s">
        <v>7</v>
      </c>
    </row>
    <row r="4" ht="27.0" customHeight="1">
      <c r="B4" s="26" t="s">
        <v>9</v>
      </c>
      <c r="C4" s="27"/>
      <c r="D4" s="28"/>
      <c r="E4" s="29"/>
      <c r="F4" s="31"/>
      <c r="G4" s="32" t="s">
        <v>10</v>
      </c>
      <c r="H4" s="33">
        <f>COUNTIF(I8:I50,"L")</f>
        <v>36</v>
      </c>
      <c r="I4" s="29"/>
      <c r="J4" s="34"/>
      <c r="K4" s="35"/>
      <c r="L4" s="14"/>
      <c r="M4" s="36" t="s">
        <v>11</v>
      </c>
    </row>
    <row r="5" ht="27.0" customHeight="1">
      <c r="C5" s="1"/>
      <c r="D5" s="1"/>
      <c r="E5" s="1"/>
      <c r="G5" s="1"/>
    </row>
    <row r="6" ht="27.0" customHeight="1">
      <c r="A6" s="37"/>
      <c r="B6" s="38" t="s">
        <v>13</v>
      </c>
      <c r="C6" s="39" t="s">
        <v>14</v>
      </c>
      <c r="D6" s="39" t="s">
        <v>15</v>
      </c>
      <c r="E6" s="39" t="s">
        <v>16</v>
      </c>
      <c r="F6" s="39" t="s">
        <v>17</v>
      </c>
      <c r="G6" s="39" t="s">
        <v>18</v>
      </c>
      <c r="H6" s="39" t="s">
        <v>19</v>
      </c>
      <c r="I6" s="39" t="s">
        <v>20</v>
      </c>
      <c r="J6" s="39" t="s">
        <v>21</v>
      </c>
      <c r="K6" s="40" t="s">
        <v>23</v>
      </c>
      <c r="L6" s="41"/>
      <c r="M6" s="42" t="s">
        <v>24</v>
      </c>
      <c r="N6" s="37"/>
      <c r="O6" s="37"/>
      <c r="P6" s="37"/>
      <c r="Q6" s="37"/>
      <c r="R6" s="37"/>
      <c r="S6" s="37"/>
      <c r="T6" s="37"/>
      <c r="U6" s="37"/>
      <c r="V6" s="37"/>
      <c r="W6" s="37"/>
      <c r="X6" s="37"/>
      <c r="Y6" s="37"/>
      <c r="Z6" s="37"/>
    </row>
    <row r="7" ht="7.5" customHeight="1">
      <c r="A7" s="37"/>
      <c r="B7" s="43"/>
      <c r="C7" s="44"/>
      <c r="D7" s="44"/>
      <c r="E7" s="44"/>
      <c r="F7" s="44"/>
      <c r="G7" s="45"/>
      <c r="H7" s="44"/>
      <c r="I7" s="44"/>
      <c r="J7" s="44"/>
      <c r="K7" s="46"/>
      <c r="L7" s="41"/>
      <c r="M7" s="47"/>
      <c r="N7" s="37"/>
      <c r="O7" s="37"/>
      <c r="P7" s="37"/>
      <c r="Q7" s="37"/>
      <c r="R7" s="37"/>
      <c r="S7" s="37"/>
      <c r="T7" s="37"/>
      <c r="U7" s="37"/>
      <c r="V7" s="37"/>
      <c r="W7" s="37"/>
      <c r="X7" s="37"/>
      <c r="Y7" s="37"/>
      <c r="Z7" s="37"/>
    </row>
    <row r="8" ht="57.0" customHeight="1">
      <c r="A8" s="48"/>
      <c r="B8" s="49">
        <v>1.1</v>
      </c>
      <c r="C8" s="50" t="s">
        <v>25</v>
      </c>
      <c r="D8" s="50" t="s">
        <v>26</v>
      </c>
      <c r="E8" s="50" t="s">
        <v>27</v>
      </c>
      <c r="F8" s="51" t="s">
        <v>28</v>
      </c>
      <c r="G8" s="52" t="s">
        <v>29</v>
      </c>
      <c r="H8" s="53">
        <v>0.5</v>
      </c>
      <c r="I8" s="56" t="s">
        <v>33</v>
      </c>
      <c r="J8" s="58">
        <f t="shared" ref="J8:J16" si="1">IF(I8="H",1*H8,IF(I8="M",5*H8,IF(I8="L",10*H8)))</f>
        <v>5</v>
      </c>
      <c r="K8" s="59"/>
      <c r="L8" s="60"/>
      <c r="M8" s="61"/>
      <c r="N8" s="48"/>
      <c r="O8" s="48"/>
      <c r="P8" s="48"/>
      <c r="Q8" s="48"/>
      <c r="R8" s="48"/>
      <c r="S8" s="48"/>
      <c r="T8" s="48"/>
      <c r="U8" s="48"/>
      <c r="V8" s="48"/>
      <c r="W8" s="48"/>
      <c r="X8" s="48"/>
      <c r="Y8" s="48"/>
      <c r="Z8" s="48"/>
    </row>
    <row r="9" ht="96.0" customHeight="1">
      <c r="A9" s="48"/>
      <c r="B9" s="49">
        <v>1.2</v>
      </c>
      <c r="C9" s="50" t="s">
        <v>25</v>
      </c>
      <c r="D9" s="50" t="s">
        <v>26</v>
      </c>
      <c r="E9" s="50" t="s">
        <v>35</v>
      </c>
      <c r="F9" s="51" t="s">
        <v>36</v>
      </c>
      <c r="G9" s="52" t="s">
        <v>37</v>
      </c>
      <c r="H9" s="53">
        <v>0.5</v>
      </c>
      <c r="I9" s="56" t="s">
        <v>33</v>
      </c>
      <c r="J9" s="58">
        <f t="shared" si="1"/>
        <v>5</v>
      </c>
      <c r="K9" s="59"/>
      <c r="L9" s="60"/>
      <c r="M9" s="62"/>
      <c r="N9" s="48"/>
      <c r="O9" s="48"/>
      <c r="P9" s="48"/>
      <c r="Q9" s="48"/>
      <c r="R9" s="48"/>
      <c r="S9" s="48"/>
      <c r="T9" s="48"/>
      <c r="U9" s="48"/>
      <c r="V9" s="48"/>
      <c r="W9" s="48"/>
      <c r="X9" s="48"/>
      <c r="Y9" s="48"/>
      <c r="Z9" s="48"/>
    </row>
    <row r="10" ht="96.0" customHeight="1">
      <c r="A10" s="48"/>
      <c r="B10" s="49">
        <v>1.3</v>
      </c>
      <c r="C10" s="50" t="s">
        <v>25</v>
      </c>
      <c r="D10" s="50" t="s">
        <v>26</v>
      </c>
      <c r="E10" s="50" t="s">
        <v>38</v>
      </c>
      <c r="F10" s="51" t="s">
        <v>39</v>
      </c>
      <c r="G10" s="52" t="s">
        <v>40</v>
      </c>
      <c r="H10" s="53">
        <v>0.5</v>
      </c>
      <c r="I10" s="56" t="s">
        <v>33</v>
      </c>
      <c r="J10" s="58">
        <f t="shared" si="1"/>
        <v>5</v>
      </c>
      <c r="K10" s="59"/>
      <c r="L10" s="60"/>
      <c r="M10" s="61"/>
      <c r="N10" s="48"/>
      <c r="O10" s="48"/>
      <c r="P10" s="48"/>
      <c r="Q10" s="48"/>
      <c r="R10" s="48"/>
      <c r="S10" s="48"/>
      <c r="T10" s="48"/>
      <c r="U10" s="48"/>
      <c r="V10" s="48"/>
      <c r="W10" s="48"/>
      <c r="X10" s="48"/>
      <c r="Y10" s="48"/>
      <c r="Z10" s="48"/>
    </row>
    <row r="11" ht="69.75" customHeight="1">
      <c r="A11" s="48"/>
      <c r="B11" s="49">
        <v>1.3</v>
      </c>
      <c r="C11" s="50" t="s">
        <v>25</v>
      </c>
      <c r="D11" s="50" t="s">
        <v>26</v>
      </c>
      <c r="E11" s="50" t="s">
        <v>42</v>
      </c>
      <c r="F11" s="51" t="s">
        <v>43</v>
      </c>
      <c r="G11" s="52" t="s">
        <v>44</v>
      </c>
      <c r="H11" s="53"/>
      <c r="I11" s="56" t="s">
        <v>33</v>
      </c>
      <c r="J11" s="58">
        <f t="shared" si="1"/>
        <v>0</v>
      </c>
      <c r="K11" s="59"/>
      <c r="L11" s="60"/>
      <c r="M11" s="61"/>
      <c r="N11" s="48"/>
      <c r="O11" s="48"/>
      <c r="P11" s="48"/>
      <c r="Q11" s="48"/>
      <c r="R11" s="48"/>
      <c r="S11" s="48"/>
      <c r="T11" s="48"/>
      <c r="U11" s="48"/>
      <c r="V11" s="48"/>
      <c r="W11" s="48"/>
      <c r="X11" s="48"/>
      <c r="Y11" s="48"/>
      <c r="Z11" s="48"/>
    </row>
    <row r="12" ht="96.0" customHeight="1">
      <c r="A12" s="48"/>
      <c r="B12" s="49">
        <v>1.4</v>
      </c>
      <c r="C12" s="50" t="s">
        <v>25</v>
      </c>
      <c r="D12" s="50" t="s">
        <v>26</v>
      </c>
      <c r="E12" s="50" t="s">
        <v>47</v>
      </c>
      <c r="F12" s="51" t="s">
        <v>48</v>
      </c>
      <c r="G12" s="52" t="s">
        <v>49</v>
      </c>
      <c r="H12" s="53"/>
      <c r="I12" s="56" t="s">
        <v>33</v>
      </c>
      <c r="J12" s="58">
        <f t="shared" si="1"/>
        <v>0</v>
      </c>
      <c r="K12" s="59"/>
      <c r="L12" s="60"/>
      <c r="M12" s="61"/>
      <c r="N12" s="48"/>
      <c r="O12" s="48"/>
      <c r="P12" s="48"/>
      <c r="Q12" s="48"/>
      <c r="R12" s="48"/>
      <c r="S12" s="48"/>
      <c r="T12" s="48"/>
      <c r="U12" s="48"/>
      <c r="V12" s="48"/>
      <c r="W12" s="48"/>
      <c r="X12" s="48"/>
      <c r="Y12" s="48"/>
      <c r="Z12" s="48"/>
    </row>
    <row r="13" ht="63.75" customHeight="1">
      <c r="A13" s="48"/>
      <c r="B13" s="49">
        <v>1.5</v>
      </c>
      <c r="C13" s="50" t="s">
        <v>25</v>
      </c>
      <c r="D13" s="50" t="s">
        <v>26</v>
      </c>
      <c r="E13" s="50" t="s">
        <v>50</v>
      </c>
      <c r="F13" s="51" t="s">
        <v>51</v>
      </c>
      <c r="G13" s="52" t="s">
        <v>52</v>
      </c>
      <c r="H13" s="53"/>
      <c r="I13" s="56" t="s">
        <v>33</v>
      </c>
      <c r="J13" s="58">
        <f t="shared" si="1"/>
        <v>0</v>
      </c>
      <c r="K13" s="59"/>
      <c r="L13" s="60"/>
      <c r="M13" s="61"/>
      <c r="N13" s="48"/>
      <c r="O13" s="48"/>
      <c r="P13" s="48"/>
      <c r="Q13" s="48"/>
      <c r="R13" s="48"/>
      <c r="S13" s="48"/>
      <c r="T13" s="48"/>
      <c r="U13" s="48"/>
      <c r="V13" s="48"/>
      <c r="W13" s="48"/>
      <c r="X13" s="48"/>
      <c r="Y13" s="48"/>
      <c r="Z13" s="48"/>
    </row>
    <row r="14" ht="63.75" customHeight="1">
      <c r="A14" s="48"/>
      <c r="B14" s="49">
        <v>1.6</v>
      </c>
      <c r="C14" s="50" t="s">
        <v>25</v>
      </c>
      <c r="D14" s="50" t="s">
        <v>26</v>
      </c>
      <c r="E14" s="50" t="s">
        <v>55</v>
      </c>
      <c r="F14" s="51" t="s">
        <v>56</v>
      </c>
      <c r="G14" s="52" t="s">
        <v>57</v>
      </c>
      <c r="H14" s="53"/>
      <c r="I14" s="56" t="s">
        <v>33</v>
      </c>
      <c r="J14" s="58">
        <f t="shared" si="1"/>
        <v>0</v>
      </c>
      <c r="K14" s="59"/>
      <c r="L14" s="60"/>
      <c r="M14" s="61"/>
      <c r="N14" s="48"/>
      <c r="O14" s="48"/>
      <c r="P14" s="48"/>
      <c r="Q14" s="48"/>
      <c r="R14" s="48"/>
      <c r="S14" s="48"/>
      <c r="T14" s="48"/>
      <c r="U14" s="48"/>
      <c r="V14" s="48"/>
      <c r="W14" s="48"/>
      <c r="X14" s="48"/>
      <c r="Y14" s="48"/>
      <c r="Z14" s="48"/>
    </row>
    <row r="15" ht="111.75" customHeight="1">
      <c r="A15" s="48"/>
      <c r="B15" s="49">
        <v>1.7</v>
      </c>
      <c r="C15" s="50" t="s">
        <v>25</v>
      </c>
      <c r="D15" s="50" t="s">
        <v>26</v>
      </c>
      <c r="E15" s="50" t="s">
        <v>58</v>
      </c>
      <c r="F15" s="51" t="s">
        <v>59</v>
      </c>
      <c r="G15" s="52" t="s">
        <v>60</v>
      </c>
      <c r="H15" s="53"/>
      <c r="I15" s="56" t="s">
        <v>33</v>
      </c>
      <c r="J15" s="58">
        <f t="shared" si="1"/>
        <v>0</v>
      </c>
      <c r="K15" s="59"/>
      <c r="L15" s="60"/>
      <c r="M15" s="61"/>
      <c r="N15" s="48"/>
      <c r="O15" s="48"/>
      <c r="P15" s="48"/>
      <c r="Q15" s="48"/>
      <c r="R15" s="48"/>
      <c r="S15" s="48"/>
      <c r="T15" s="48"/>
      <c r="U15" s="48"/>
      <c r="V15" s="48"/>
      <c r="W15" s="48"/>
      <c r="X15" s="48"/>
      <c r="Y15" s="48"/>
      <c r="Z15" s="48"/>
    </row>
    <row r="16" ht="63.75" customHeight="1">
      <c r="A16" s="48"/>
      <c r="B16" s="49">
        <v>1.8</v>
      </c>
      <c r="C16" s="50" t="s">
        <v>25</v>
      </c>
      <c r="D16" s="50" t="s">
        <v>26</v>
      </c>
      <c r="E16" s="50" t="s">
        <v>63</v>
      </c>
      <c r="F16" s="51" t="s">
        <v>65</v>
      </c>
      <c r="G16" s="52" t="s">
        <v>66</v>
      </c>
      <c r="H16" s="53"/>
      <c r="I16" s="56" t="s">
        <v>33</v>
      </c>
      <c r="J16" s="58">
        <f t="shared" si="1"/>
        <v>0</v>
      </c>
      <c r="K16" s="59"/>
      <c r="L16" s="60"/>
      <c r="M16" s="61"/>
      <c r="N16" s="48"/>
      <c r="O16" s="48"/>
      <c r="P16" s="48"/>
      <c r="Q16" s="48"/>
      <c r="R16" s="48"/>
      <c r="S16" s="48"/>
      <c r="T16" s="48"/>
      <c r="U16" s="48"/>
      <c r="V16" s="48"/>
      <c r="W16" s="48"/>
      <c r="X16" s="48"/>
      <c r="Y16" s="48"/>
      <c r="Z16" s="48"/>
    </row>
    <row r="17" ht="57.0" customHeight="1">
      <c r="A17" s="48"/>
      <c r="B17" s="63"/>
      <c r="C17" s="65"/>
      <c r="D17" s="65"/>
      <c r="E17" s="65"/>
      <c r="F17" s="66"/>
      <c r="G17" s="67"/>
      <c r="H17" s="66"/>
      <c r="I17" s="66"/>
      <c r="J17" s="68">
        <f>SUM(J8:J16)</f>
        <v>15</v>
      </c>
      <c r="K17" s="69"/>
      <c r="L17" s="70"/>
      <c r="M17" s="71"/>
      <c r="N17" s="48"/>
      <c r="O17" s="48"/>
      <c r="P17" s="48"/>
      <c r="Q17" s="48"/>
      <c r="R17" s="48"/>
      <c r="S17" s="48"/>
      <c r="T17" s="48"/>
      <c r="U17" s="48"/>
      <c r="V17" s="48"/>
      <c r="W17" s="48"/>
      <c r="X17" s="48"/>
      <c r="Y17" s="48"/>
      <c r="Z17" s="48"/>
    </row>
    <row r="18" ht="111.75" customHeight="1">
      <c r="A18" s="48"/>
      <c r="B18" s="72">
        <v>2.1</v>
      </c>
      <c r="C18" s="50" t="s">
        <v>67</v>
      </c>
      <c r="D18" s="50" t="s">
        <v>68</v>
      </c>
      <c r="E18" s="50" t="s">
        <v>69</v>
      </c>
      <c r="F18" s="51" t="s">
        <v>70</v>
      </c>
      <c r="G18" s="52" t="s">
        <v>71</v>
      </c>
      <c r="H18" s="53">
        <v>0.5</v>
      </c>
      <c r="I18" s="56" t="s">
        <v>33</v>
      </c>
      <c r="J18" s="58">
        <f t="shared" ref="J18:J22" si="2">IF(I18="H",1*H18,IF(I18="M",5*H18,IF(I18="L",10*H18)))</f>
        <v>5</v>
      </c>
      <c r="K18" s="59"/>
      <c r="L18" s="60"/>
      <c r="M18" s="61"/>
      <c r="N18" s="48"/>
      <c r="O18" s="48"/>
      <c r="P18" s="48"/>
      <c r="Q18" s="48"/>
      <c r="R18" s="48"/>
      <c r="S18" s="48"/>
      <c r="T18" s="48"/>
      <c r="U18" s="48"/>
      <c r="V18" s="48"/>
      <c r="W18" s="48"/>
      <c r="X18" s="48"/>
      <c r="Y18" s="48"/>
      <c r="Z18" s="48"/>
    </row>
    <row r="19" ht="144.0" customHeight="1">
      <c r="A19" s="48"/>
      <c r="B19" s="72">
        <v>2.2</v>
      </c>
      <c r="C19" s="50" t="s">
        <v>67</v>
      </c>
      <c r="D19" s="50" t="s">
        <v>68</v>
      </c>
      <c r="E19" s="50" t="s">
        <v>76</v>
      </c>
      <c r="F19" s="51" t="s">
        <v>77</v>
      </c>
      <c r="G19" s="52" t="s">
        <v>71</v>
      </c>
      <c r="H19" s="53">
        <v>0.5</v>
      </c>
      <c r="I19" s="56" t="s">
        <v>33</v>
      </c>
      <c r="J19" s="58">
        <f t="shared" si="2"/>
        <v>5</v>
      </c>
      <c r="K19" s="59"/>
      <c r="L19" s="60"/>
      <c r="M19" s="61"/>
      <c r="N19" s="48"/>
      <c r="O19" s="48"/>
      <c r="P19" s="48"/>
      <c r="Q19" s="48"/>
      <c r="R19" s="48"/>
      <c r="S19" s="48"/>
      <c r="T19" s="48"/>
      <c r="U19" s="48"/>
      <c r="V19" s="48"/>
      <c r="W19" s="48"/>
      <c r="X19" s="48"/>
      <c r="Y19" s="48"/>
      <c r="Z19" s="48"/>
    </row>
    <row r="20" ht="97.5" customHeight="1">
      <c r="A20" s="48"/>
      <c r="B20" s="72">
        <v>2.3</v>
      </c>
      <c r="C20" s="50" t="s">
        <v>67</v>
      </c>
      <c r="D20" s="50" t="s">
        <v>68</v>
      </c>
      <c r="E20" s="50" t="s">
        <v>78</v>
      </c>
      <c r="F20" s="51" t="s">
        <v>79</v>
      </c>
      <c r="G20" s="52" t="s">
        <v>71</v>
      </c>
      <c r="H20" s="53">
        <v>0.5</v>
      </c>
      <c r="I20" s="56" t="s">
        <v>33</v>
      </c>
      <c r="J20" s="58">
        <f t="shared" si="2"/>
        <v>5</v>
      </c>
      <c r="K20" s="59"/>
      <c r="L20" s="60"/>
      <c r="M20" s="62"/>
      <c r="N20" s="48"/>
      <c r="O20" s="48"/>
      <c r="P20" s="48"/>
      <c r="Q20" s="48"/>
      <c r="R20" s="48"/>
      <c r="S20" s="48"/>
      <c r="T20" s="48"/>
      <c r="U20" s="48"/>
      <c r="V20" s="48"/>
      <c r="W20" s="48"/>
      <c r="X20" s="48"/>
      <c r="Y20" s="48"/>
      <c r="Z20" s="48"/>
    </row>
    <row r="21" ht="96.0" customHeight="1">
      <c r="A21" s="48"/>
      <c r="B21" s="72">
        <v>2.4</v>
      </c>
      <c r="C21" s="50" t="s">
        <v>67</v>
      </c>
      <c r="D21" s="50" t="s">
        <v>68</v>
      </c>
      <c r="E21" s="50" t="s">
        <v>80</v>
      </c>
      <c r="F21" s="51" t="s">
        <v>81</v>
      </c>
      <c r="G21" s="52" t="s">
        <v>82</v>
      </c>
      <c r="H21" s="53">
        <v>0.5</v>
      </c>
      <c r="I21" s="56" t="s">
        <v>33</v>
      </c>
      <c r="J21" s="58">
        <f t="shared" si="2"/>
        <v>5</v>
      </c>
      <c r="K21" s="59"/>
      <c r="L21" s="60"/>
      <c r="M21" s="61"/>
      <c r="N21" s="48"/>
      <c r="O21" s="48"/>
      <c r="P21" s="48"/>
      <c r="Q21" s="48"/>
      <c r="R21" s="48"/>
      <c r="S21" s="48"/>
      <c r="T21" s="48"/>
      <c r="U21" s="48"/>
      <c r="V21" s="48"/>
      <c r="W21" s="48"/>
      <c r="X21" s="48"/>
      <c r="Y21" s="48"/>
      <c r="Z21" s="48"/>
    </row>
    <row r="22" ht="175.5" customHeight="1">
      <c r="A22" s="48"/>
      <c r="B22" s="72">
        <v>2.5</v>
      </c>
      <c r="C22" s="50" t="s">
        <v>67</v>
      </c>
      <c r="D22" s="50" t="s">
        <v>68</v>
      </c>
      <c r="E22" s="50" t="s">
        <v>86</v>
      </c>
      <c r="F22" s="51" t="s">
        <v>87</v>
      </c>
      <c r="G22" s="52" t="s">
        <v>88</v>
      </c>
      <c r="H22" s="53">
        <v>0.5</v>
      </c>
      <c r="I22" s="56" t="s">
        <v>33</v>
      </c>
      <c r="J22" s="58">
        <f t="shared" si="2"/>
        <v>5</v>
      </c>
      <c r="K22" s="59"/>
      <c r="L22" s="60"/>
      <c r="M22" s="61"/>
      <c r="N22" s="48"/>
      <c r="O22" s="48"/>
      <c r="P22" s="48"/>
      <c r="Q22" s="48"/>
      <c r="R22" s="48"/>
      <c r="S22" s="48"/>
      <c r="T22" s="48"/>
      <c r="U22" s="48"/>
      <c r="V22" s="48"/>
      <c r="W22" s="48"/>
      <c r="X22" s="48"/>
      <c r="Y22" s="48"/>
      <c r="Z22" s="48"/>
    </row>
    <row r="23" ht="57.0" customHeight="1">
      <c r="A23" s="48"/>
      <c r="B23" s="63"/>
      <c r="C23" s="65"/>
      <c r="D23" s="65"/>
      <c r="E23" s="65"/>
      <c r="F23" s="66"/>
      <c r="G23" s="67"/>
      <c r="H23" s="66"/>
      <c r="I23" s="66"/>
      <c r="J23" s="68">
        <f>SUM(J12:J22)</f>
        <v>40</v>
      </c>
      <c r="K23" s="69"/>
      <c r="L23" s="70"/>
      <c r="M23" s="71"/>
      <c r="N23" s="48"/>
      <c r="O23" s="48"/>
      <c r="P23" s="48"/>
      <c r="Q23" s="48"/>
      <c r="R23" s="48"/>
      <c r="S23" s="48"/>
      <c r="T23" s="48"/>
      <c r="U23" s="48"/>
      <c r="V23" s="48"/>
      <c r="W23" s="48"/>
      <c r="X23" s="48"/>
      <c r="Y23" s="48"/>
      <c r="Z23" s="48"/>
    </row>
    <row r="24" ht="63.75" customHeight="1">
      <c r="A24" s="48"/>
      <c r="B24" s="72">
        <v>3.1</v>
      </c>
      <c r="C24" s="50" t="s">
        <v>92</v>
      </c>
      <c r="D24" s="50" t="s">
        <v>93</v>
      </c>
      <c r="E24" s="50" t="s">
        <v>94</v>
      </c>
      <c r="F24" s="51" t="s">
        <v>95</v>
      </c>
      <c r="G24" s="52" t="s">
        <v>96</v>
      </c>
      <c r="H24" s="53">
        <v>1.5</v>
      </c>
      <c r="I24" s="56" t="s">
        <v>33</v>
      </c>
      <c r="J24" s="58">
        <f t="shared" ref="J24:J26" si="3">IF(I24="H",1*H24,IF(I24="M",5*H24,IF(I24="L",10*H24)))</f>
        <v>15</v>
      </c>
      <c r="K24" s="59"/>
      <c r="L24" s="60"/>
      <c r="M24" s="64"/>
      <c r="N24" s="48"/>
      <c r="O24" s="48"/>
      <c r="P24" s="48"/>
      <c r="Q24" s="48"/>
      <c r="R24" s="48"/>
      <c r="S24" s="48"/>
      <c r="T24" s="48"/>
      <c r="U24" s="48"/>
      <c r="V24" s="48"/>
      <c r="W24" s="48"/>
      <c r="X24" s="48"/>
      <c r="Y24" s="48"/>
      <c r="Z24" s="48"/>
    </row>
    <row r="25" ht="111.75" customHeight="1">
      <c r="A25" s="48"/>
      <c r="B25" s="72">
        <v>3.1</v>
      </c>
      <c r="C25" s="50" t="s">
        <v>92</v>
      </c>
      <c r="D25" s="50" t="s">
        <v>93</v>
      </c>
      <c r="E25" s="50" t="s">
        <v>102</v>
      </c>
      <c r="F25" s="51" t="s">
        <v>103</v>
      </c>
      <c r="G25" s="52" t="s">
        <v>104</v>
      </c>
      <c r="H25" s="53">
        <v>1.5</v>
      </c>
      <c r="I25" s="56" t="s">
        <v>33</v>
      </c>
      <c r="J25" s="58">
        <f t="shared" si="3"/>
        <v>15</v>
      </c>
      <c r="K25" s="59"/>
      <c r="L25" s="60"/>
      <c r="M25" s="64"/>
      <c r="N25" s="48"/>
      <c r="O25" s="48"/>
      <c r="P25" s="48"/>
      <c r="Q25" s="48"/>
      <c r="R25" s="48"/>
      <c r="S25" s="48"/>
      <c r="T25" s="48"/>
      <c r="U25" s="48"/>
      <c r="V25" s="48"/>
      <c r="W25" s="48"/>
      <c r="X25" s="48"/>
      <c r="Y25" s="48"/>
      <c r="Z25" s="48"/>
    </row>
    <row r="26" ht="72.0" customHeight="1">
      <c r="A26" s="48"/>
      <c r="B26" s="72">
        <v>3.1</v>
      </c>
      <c r="C26" s="50" t="s">
        <v>92</v>
      </c>
      <c r="D26" s="50" t="s">
        <v>93</v>
      </c>
      <c r="E26" s="50" t="s">
        <v>107</v>
      </c>
      <c r="F26" s="73" t="s">
        <v>108</v>
      </c>
      <c r="G26" s="52" t="s">
        <v>109</v>
      </c>
      <c r="H26" s="53">
        <v>1.5</v>
      </c>
      <c r="I26" s="56" t="s">
        <v>33</v>
      </c>
      <c r="J26" s="58">
        <f t="shared" si="3"/>
        <v>15</v>
      </c>
      <c r="K26" s="59"/>
      <c r="L26" s="60"/>
      <c r="M26" s="64"/>
      <c r="N26" s="48"/>
      <c r="O26" s="48"/>
      <c r="P26" s="48"/>
      <c r="Q26" s="48"/>
      <c r="R26" s="48"/>
      <c r="S26" s="48"/>
      <c r="T26" s="48"/>
      <c r="U26" s="48"/>
      <c r="V26" s="48"/>
      <c r="W26" s="48"/>
      <c r="X26" s="48"/>
      <c r="Y26" s="48"/>
      <c r="Z26" s="48"/>
    </row>
    <row r="27" ht="57.0" customHeight="1">
      <c r="A27" s="48"/>
      <c r="B27" s="63"/>
      <c r="C27" s="65"/>
      <c r="D27" s="65"/>
      <c r="E27" s="65"/>
      <c r="F27" s="66"/>
      <c r="G27" s="67"/>
      <c r="H27" s="66"/>
      <c r="I27" s="66"/>
      <c r="J27" s="68">
        <f>SUM(J18:J26)</f>
        <v>110</v>
      </c>
      <c r="K27" s="69"/>
      <c r="L27" s="70"/>
      <c r="M27" s="71"/>
      <c r="N27" s="48"/>
      <c r="O27" s="48"/>
      <c r="P27" s="48"/>
      <c r="Q27" s="48"/>
      <c r="R27" s="48"/>
      <c r="S27" s="48"/>
      <c r="T27" s="48"/>
      <c r="U27" s="48"/>
      <c r="V27" s="48"/>
      <c r="W27" s="48"/>
      <c r="X27" s="48"/>
      <c r="Y27" s="48"/>
      <c r="Z27" s="48"/>
    </row>
    <row r="28" ht="180.0" customHeight="1">
      <c r="A28" s="48"/>
      <c r="B28" s="72">
        <v>3.1</v>
      </c>
      <c r="C28" s="50" t="s">
        <v>67</v>
      </c>
      <c r="D28" s="75" t="s">
        <v>112</v>
      </c>
      <c r="E28" s="23" t="s">
        <v>113</v>
      </c>
      <c r="F28" s="73" t="s">
        <v>114</v>
      </c>
      <c r="G28" s="52" t="s">
        <v>115</v>
      </c>
      <c r="H28" s="53">
        <v>1.0</v>
      </c>
      <c r="I28" s="56" t="s">
        <v>33</v>
      </c>
      <c r="J28" s="58">
        <f t="shared" ref="J28:J31" si="4">IF(I28="H",1*H28,IF(I28="M",5*H28,IF(I28="L",10*H28)))</f>
        <v>10</v>
      </c>
      <c r="K28" s="59"/>
      <c r="L28" s="60"/>
      <c r="M28" s="62"/>
      <c r="N28" s="48"/>
      <c r="O28" s="48"/>
      <c r="P28" s="48"/>
      <c r="Q28" s="48"/>
      <c r="R28" s="48"/>
      <c r="S28" s="48"/>
      <c r="T28" s="48"/>
      <c r="U28" s="48"/>
      <c r="V28" s="48"/>
      <c r="W28" s="48"/>
      <c r="X28" s="48"/>
      <c r="Y28" s="48"/>
      <c r="Z28" s="48"/>
    </row>
    <row r="29" ht="72.0" customHeight="1">
      <c r="A29" s="48"/>
      <c r="B29" s="72">
        <v>3.2</v>
      </c>
      <c r="C29" s="50" t="s">
        <v>67</v>
      </c>
      <c r="D29" s="75" t="s">
        <v>112</v>
      </c>
      <c r="E29" s="23" t="s">
        <v>120</v>
      </c>
      <c r="F29" s="73" t="s">
        <v>121</v>
      </c>
      <c r="G29" s="52" t="s">
        <v>122</v>
      </c>
      <c r="H29" s="53">
        <v>0.5</v>
      </c>
      <c r="I29" s="56" t="s">
        <v>33</v>
      </c>
      <c r="J29" s="58">
        <f t="shared" si="4"/>
        <v>5</v>
      </c>
      <c r="K29" s="59"/>
      <c r="L29" s="60"/>
      <c r="M29" s="62"/>
      <c r="N29" s="48"/>
      <c r="O29" s="48"/>
      <c r="P29" s="48"/>
      <c r="Q29" s="48"/>
      <c r="R29" s="48"/>
      <c r="S29" s="48"/>
      <c r="T29" s="48"/>
      <c r="U29" s="48"/>
      <c r="V29" s="48"/>
      <c r="W29" s="48"/>
      <c r="X29" s="48"/>
      <c r="Y29" s="48"/>
      <c r="Z29" s="48"/>
    </row>
    <row r="30" ht="108.0" customHeight="1">
      <c r="A30" s="48"/>
      <c r="B30" s="72"/>
      <c r="C30" s="50" t="s">
        <v>67</v>
      </c>
      <c r="D30" s="75" t="s">
        <v>112</v>
      </c>
      <c r="E30" s="23" t="s">
        <v>124</v>
      </c>
      <c r="F30" s="73" t="s">
        <v>125</v>
      </c>
      <c r="G30" s="52" t="s">
        <v>126</v>
      </c>
      <c r="H30" s="53"/>
      <c r="I30" s="56" t="s">
        <v>33</v>
      </c>
      <c r="J30" s="58">
        <f t="shared" si="4"/>
        <v>0</v>
      </c>
      <c r="K30" s="59"/>
      <c r="L30" s="60"/>
      <c r="M30" s="62"/>
      <c r="N30" s="48"/>
      <c r="O30" s="48"/>
      <c r="P30" s="48"/>
      <c r="Q30" s="48"/>
      <c r="R30" s="48"/>
      <c r="S30" s="48"/>
      <c r="T30" s="48"/>
      <c r="U30" s="48"/>
      <c r="V30" s="48"/>
      <c r="W30" s="48"/>
      <c r="X30" s="48"/>
      <c r="Y30" s="48"/>
      <c r="Z30" s="48"/>
    </row>
    <row r="31" ht="57.0" customHeight="1">
      <c r="A31" s="48"/>
      <c r="B31" s="72">
        <v>3.3</v>
      </c>
      <c r="C31" s="50" t="s">
        <v>67</v>
      </c>
      <c r="D31" s="75" t="s">
        <v>112</v>
      </c>
      <c r="E31" s="23" t="s">
        <v>127</v>
      </c>
      <c r="F31" s="73" t="s">
        <v>128</v>
      </c>
      <c r="G31" s="52" t="s">
        <v>122</v>
      </c>
      <c r="H31" s="53">
        <v>0.5</v>
      </c>
      <c r="I31" s="56" t="s">
        <v>33</v>
      </c>
      <c r="J31" s="58">
        <f t="shared" si="4"/>
        <v>5</v>
      </c>
      <c r="K31" s="59"/>
      <c r="L31" s="60"/>
      <c r="M31" s="62"/>
      <c r="N31" s="48"/>
      <c r="O31" s="48"/>
      <c r="P31" s="48"/>
      <c r="Q31" s="48"/>
      <c r="R31" s="48"/>
      <c r="S31" s="48"/>
      <c r="T31" s="48"/>
      <c r="U31" s="48"/>
      <c r="V31" s="48"/>
      <c r="W31" s="48"/>
      <c r="X31" s="48"/>
      <c r="Y31" s="48"/>
      <c r="Z31" s="48"/>
    </row>
    <row r="32" ht="57.0" customHeight="1">
      <c r="A32" s="48"/>
      <c r="B32" s="63"/>
      <c r="C32" s="65"/>
      <c r="D32" s="65"/>
      <c r="E32" s="65"/>
      <c r="F32" s="66"/>
      <c r="G32" s="67"/>
      <c r="H32" s="66"/>
      <c r="I32" s="66"/>
      <c r="J32" s="68">
        <f>SUM(J28:J31)</f>
        <v>20</v>
      </c>
      <c r="K32" s="69"/>
      <c r="L32" s="70"/>
      <c r="M32" s="71"/>
      <c r="N32" s="48"/>
      <c r="O32" s="48"/>
      <c r="P32" s="48"/>
      <c r="Q32" s="48"/>
      <c r="R32" s="48"/>
      <c r="S32" s="48"/>
      <c r="T32" s="48"/>
      <c r="U32" s="48"/>
      <c r="V32" s="48"/>
      <c r="W32" s="48"/>
      <c r="X32" s="48"/>
      <c r="Y32" s="48"/>
      <c r="Z32" s="48"/>
    </row>
    <row r="33" ht="108.0" customHeight="1">
      <c r="A33" s="48"/>
      <c r="B33" s="72">
        <v>4.1</v>
      </c>
      <c r="C33" s="50" t="s">
        <v>133</v>
      </c>
      <c r="D33" s="23" t="s">
        <v>134</v>
      </c>
      <c r="E33" s="23" t="s">
        <v>135</v>
      </c>
      <c r="F33" s="73" t="s">
        <v>136</v>
      </c>
      <c r="G33" s="52" t="s">
        <v>137</v>
      </c>
      <c r="H33" s="53">
        <v>0.5</v>
      </c>
      <c r="I33" s="56" t="s">
        <v>33</v>
      </c>
      <c r="J33" s="58">
        <f t="shared" ref="J33:J36" si="5">IF(I33="H",1*H33,IF(I33="M",5*H33,IF(I33="L",10*H33)))</f>
        <v>5</v>
      </c>
      <c r="K33" s="59"/>
      <c r="L33" s="60"/>
      <c r="M33" s="61"/>
      <c r="N33" s="48"/>
      <c r="O33" s="48"/>
      <c r="P33" s="48"/>
      <c r="Q33" s="48"/>
      <c r="R33" s="48"/>
      <c r="S33" s="48"/>
      <c r="T33" s="48"/>
      <c r="U33" s="48"/>
      <c r="V33" s="48"/>
      <c r="W33" s="48"/>
      <c r="X33" s="48"/>
      <c r="Y33" s="48"/>
      <c r="Z33" s="48"/>
    </row>
    <row r="34" ht="69.75" customHeight="1">
      <c r="A34" s="48"/>
      <c r="B34" s="72">
        <v>4.2</v>
      </c>
      <c r="C34" s="50" t="s">
        <v>133</v>
      </c>
      <c r="D34" s="23" t="s">
        <v>134</v>
      </c>
      <c r="E34" s="23" t="s">
        <v>140</v>
      </c>
      <c r="F34" s="73" t="s">
        <v>141</v>
      </c>
      <c r="G34" s="52" t="s">
        <v>137</v>
      </c>
      <c r="H34" s="53"/>
      <c r="I34" s="56" t="s">
        <v>33</v>
      </c>
      <c r="J34" s="58">
        <f t="shared" si="5"/>
        <v>0</v>
      </c>
      <c r="K34" s="59"/>
      <c r="L34" s="60"/>
      <c r="M34" s="61"/>
      <c r="N34" s="48"/>
      <c r="O34" s="48"/>
      <c r="P34" s="48"/>
      <c r="Q34" s="48"/>
      <c r="R34" s="48"/>
      <c r="S34" s="48"/>
      <c r="T34" s="48"/>
      <c r="U34" s="48"/>
      <c r="V34" s="48"/>
      <c r="W34" s="48"/>
      <c r="X34" s="48"/>
      <c r="Y34" s="48"/>
      <c r="Z34" s="48"/>
    </row>
    <row r="35" ht="108.0" customHeight="1">
      <c r="A35" s="48"/>
      <c r="B35" s="72">
        <v>4.2</v>
      </c>
      <c r="C35" s="50" t="s">
        <v>133</v>
      </c>
      <c r="D35" s="23" t="s">
        <v>134</v>
      </c>
      <c r="E35" s="23" t="s">
        <v>144</v>
      </c>
      <c r="F35" s="73" t="s">
        <v>145</v>
      </c>
      <c r="G35" s="52" t="s">
        <v>146</v>
      </c>
      <c r="H35" s="53"/>
      <c r="I35" s="56" t="s">
        <v>33</v>
      </c>
      <c r="J35" s="58">
        <f t="shared" si="5"/>
        <v>0</v>
      </c>
      <c r="K35" s="59"/>
      <c r="L35" s="60"/>
      <c r="M35" s="61"/>
      <c r="N35" s="48"/>
      <c r="O35" s="48"/>
      <c r="P35" s="48"/>
      <c r="Q35" s="48"/>
      <c r="R35" s="48"/>
      <c r="S35" s="48"/>
      <c r="T35" s="48"/>
      <c r="U35" s="48"/>
      <c r="V35" s="48"/>
      <c r="W35" s="48"/>
      <c r="X35" s="48"/>
      <c r="Y35" s="48"/>
      <c r="Z35" s="48"/>
    </row>
    <row r="36" ht="97.5" customHeight="1">
      <c r="A36" s="48"/>
      <c r="B36" s="72">
        <v>4.3</v>
      </c>
      <c r="C36" s="50" t="s">
        <v>133</v>
      </c>
      <c r="D36" s="23" t="s">
        <v>134</v>
      </c>
      <c r="E36" s="23" t="s">
        <v>147</v>
      </c>
      <c r="F36" s="73" t="s">
        <v>148</v>
      </c>
      <c r="G36" s="52" t="s">
        <v>149</v>
      </c>
      <c r="H36" s="53"/>
      <c r="I36" s="56" t="s">
        <v>33</v>
      </c>
      <c r="J36" s="58">
        <f t="shared" si="5"/>
        <v>0</v>
      </c>
      <c r="K36" s="59"/>
      <c r="L36" s="60"/>
      <c r="M36" s="61"/>
      <c r="N36" s="48"/>
      <c r="O36" s="48"/>
      <c r="P36" s="48"/>
      <c r="Q36" s="48"/>
      <c r="R36" s="48"/>
      <c r="S36" s="48"/>
      <c r="T36" s="48"/>
      <c r="U36" s="48"/>
      <c r="V36" s="48"/>
      <c r="W36" s="48"/>
      <c r="X36" s="48"/>
      <c r="Y36" s="48"/>
      <c r="Z36" s="48"/>
    </row>
    <row r="37" ht="57.0" customHeight="1">
      <c r="A37" s="48"/>
      <c r="B37" s="63"/>
      <c r="C37" s="65"/>
      <c r="D37" s="65"/>
      <c r="E37" s="65"/>
      <c r="F37" s="66"/>
      <c r="G37" s="67"/>
      <c r="H37" s="66"/>
      <c r="I37" s="66"/>
      <c r="J37" s="68">
        <f>SUM(J33:J36)</f>
        <v>5</v>
      </c>
      <c r="K37" s="69"/>
      <c r="L37" s="70"/>
      <c r="M37" s="71"/>
      <c r="N37" s="48"/>
      <c r="O37" s="48"/>
      <c r="P37" s="48"/>
      <c r="Q37" s="48"/>
      <c r="R37" s="48"/>
      <c r="S37" s="48"/>
      <c r="T37" s="48"/>
      <c r="U37" s="48"/>
      <c r="V37" s="48"/>
      <c r="W37" s="48"/>
      <c r="X37" s="48"/>
      <c r="Y37" s="48"/>
      <c r="Z37" s="48"/>
    </row>
    <row r="38" ht="144.0" customHeight="1">
      <c r="A38" s="48"/>
      <c r="B38" s="72">
        <v>5.1</v>
      </c>
      <c r="C38" s="50" t="s">
        <v>133</v>
      </c>
      <c r="D38" s="23" t="s">
        <v>151</v>
      </c>
      <c r="E38" s="23" t="s">
        <v>154</v>
      </c>
      <c r="F38" s="73" t="s">
        <v>155</v>
      </c>
      <c r="G38" s="52" t="s">
        <v>156</v>
      </c>
      <c r="H38" s="53">
        <v>0.5</v>
      </c>
      <c r="I38" s="56" t="s">
        <v>33</v>
      </c>
      <c r="J38" s="58">
        <f t="shared" ref="J38:J42" si="6">IF(I38="H",1*H38,IF(I38="M",5*H38,IF(I38="L",10*H38)))</f>
        <v>5</v>
      </c>
      <c r="K38" s="59"/>
      <c r="L38" s="60"/>
      <c r="M38" s="62"/>
      <c r="N38" s="48"/>
      <c r="O38" s="48"/>
      <c r="P38" s="48"/>
      <c r="Q38" s="48"/>
      <c r="R38" s="48"/>
      <c r="S38" s="48"/>
      <c r="T38" s="48"/>
      <c r="U38" s="48"/>
      <c r="V38" s="48"/>
      <c r="W38" s="48"/>
      <c r="X38" s="48"/>
      <c r="Y38" s="48"/>
      <c r="Z38" s="48"/>
    </row>
    <row r="39" ht="72.0" customHeight="1">
      <c r="A39" s="48"/>
      <c r="B39" s="72">
        <v>5.2</v>
      </c>
      <c r="C39" s="50" t="s">
        <v>133</v>
      </c>
      <c r="D39" s="23" t="s">
        <v>151</v>
      </c>
      <c r="E39" s="23" t="s">
        <v>159</v>
      </c>
      <c r="F39" s="73" t="s">
        <v>160</v>
      </c>
      <c r="G39" s="52" t="s">
        <v>161</v>
      </c>
      <c r="H39" s="53">
        <v>0.5</v>
      </c>
      <c r="I39" s="56" t="s">
        <v>33</v>
      </c>
      <c r="J39" s="58">
        <f t="shared" si="6"/>
        <v>5</v>
      </c>
      <c r="K39" s="59"/>
      <c r="L39" s="60"/>
      <c r="M39" s="62"/>
      <c r="N39" s="48"/>
      <c r="O39" s="48"/>
      <c r="P39" s="48"/>
      <c r="Q39" s="48"/>
      <c r="R39" s="48"/>
      <c r="S39" s="48"/>
      <c r="T39" s="48"/>
      <c r="U39" s="48"/>
      <c r="V39" s="48"/>
      <c r="W39" s="48"/>
      <c r="X39" s="48"/>
      <c r="Y39" s="48"/>
      <c r="Z39" s="48"/>
    </row>
    <row r="40" ht="108.0" customHeight="1">
      <c r="A40" s="48"/>
      <c r="B40" s="72">
        <v>5.3</v>
      </c>
      <c r="C40" s="50" t="s">
        <v>133</v>
      </c>
      <c r="D40" s="23" t="s">
        <v>151</v>
      </c>
      <c r="E40" s="23" t="s">
        <v>162</v>
      </c>
      <c r="F40" s="73" t="s">
        <v>163</v>
      </c>
      <c r="G40" s="52" t="s">
        <v>161</v>
      </c>
      <c r="H40" s="53"/>
      <c r="I40" s="56" t="s">
        <v>33</v>
      </c>
      <c r="J40" s="58">
        <f t="shared" si="6"/>
        <v>0</v>
      </c>
      <c r="K40" s="59"/>
      <c r="L40" s="60"/>
      <c r="M40" s="62"/>
      <c r="N40" s="48"/>
      <c r="O40" s="48"/>
      <c r="P40" s="48"/>
      <c r="Q40" s="48"/>
      <c r="R40" s="48"/>
      <c r="S40" s="48"/>
      <c r="T40" s="48"/>
      <c r="U40" s="48"/>
      <c r="V40" s="48"/>
      <c r="W40" s="48"/>
      <c r="X40" s="48"/>
      <c r="Y40" s="48"/>
      <c r="Z40" s="48"/>
    </row>
    <row r="41" ht="108.0" customHeight="1">
      <c r="A41" s="48"/>
      <c r="B41" s="72">
        <v>5.4</v>
      </c>
      <c r="C41" s="50" t="s">
        <v>133</v>
      </c>
      <c r="D41" s="23" t="s">
        <v>151</v>
      </c>
      <c r="E41" s="23" t="s">
        <v>168</v>
      </c>
      <c r="F41" s="73" t="s">
        <v>169</v>
      </c>
      <c r="G41" s="52" t="s">
        <v>161</v>
      </c>
      <c r="H41" s="53"/>
      <c r="I41" s="56" t="s">
        <v>33</v>
      </c>
      <c r="J41" s="58">
        <f t="shared" si="6"/>
        <v>0</v>
      </c>
      <c r="K41" s="59"/>
      <c r="L41" s="60"/>
      <c r="M41" s="62"/>
      <c r="N41" s="48"/>
      <c r="O41" s="48"/>
      <c r="P41" s="48"/>
      <c r="Q41" s="48"/>
      <c r="R41" s="48"/>
      <c r="S41" s="48"/>
      <c r="T41" s="48"/>
      <c r="U41" s="48"/>
      <c r="V41" s="48"/>
      <c r="W41" s="48"/>
      <c r="X41" s="48"/>
      <c r="Y41" s="48"/>
      <c r="Z41" s="48"/>
    </row>
    <row r="42" ht="57.0" customHeight="1">
      <c r="A42" s="48"/>
      <c r="B42" s="72">
        <v>5.5</v>
      </c>
      <c r="C42" s="50" t="s">
        <v>133</v>
      </c>
      <c r="D42" s="23" t="s">
        <v>151</v>
      </c>
      <c r="E42" s="23" t="s">
        <v>170</v>
      </c>
      <c r="F42" s="73" t="s">
        <v>171</v>
      </c>
      <c r="G42" s="52" t="s">
        <v>161</v>
      </c>
      <c r="H42" s="53"/>
      <c r="I42" s="56" t="s">
        <v>33</v>
      </c>
      <c r="J42" s="58">
        <f t="shared" si="6"/>
        <v>0</v>
      </c>
      <c r="K42" s="59"/>
      <c r="L42" s="60"/>
      <c r="M42" s="62"/>
      <c r="N42" s="48"/>
      <c r="O42" s="48"/>
      <c r="P42" s="48"/>
      <c r="Q42" s="48"/>
      <c r="R42" s="48"/>
      <c r="S42" s="48"/>
      <c r="T42" s="48"/>
      <c r="U42" s="48"/>
      <c r="V42" s="48"/>
      <c r="W42" s="48"/>
      <c r="X42" s="48"/>
      <c r="Y42" s="48"/>
      <c r="Z42" s="48"/>
    </row>
    <row r="43" ht="57.0" customHeight="1">
      <c r="A43" s="48"/>
      <c r="B43" s="63"/>
      <c r="C43" s="65"/>
      <c r="D43" s="65"/>
      <c r="E43" s="65"/>
      <c r="F43" s="66"/>
      <c r="G43" s="67"/>
      <c r="H43" s="66"/>
      <c r="I43" s="66"/>
      <c r="J43" s="68">
        <f>SUM(J38:J42)</f>
        <v>10</v>
      </c>
      <c r="K43" s="69"/>
      <c r="L43" s="70"/>
      <c r="M43" s="71"/>
      <c r="N43" s="48"/>
      <c r="O43" s="48"/>
      <c r="P43" s="48"/>
      <c r="Q43" s="48"/>
      <c r="R43" s="48"/>
      <c r="S43" s="48"/>
      <c r="T43" s="48"/>
      <c r="U43" s="48"/>
      <c r="V43" s="48"/>
      <c r="W43" s="48"/>
      <c r="X43" s="48"/>
      <c r="Y43" s="48"/>
      <c r="Z43" s="48"/>
    </row>
    <row r="44" ht="57.0" customHeight="1">
      <c r="A44" s="48"/>
      <c r="B44" s="77">
        <v>6.1</v>
      </c>
      <c r="C44" s="50" t="s">
        <v>176</v>
      </c>
      <c r="D44" s="23" t="s">
        <v>177</v>
      </c>
      <c r="E44" s="23" t="s">
        <v>178</v>
      </c>
      <c r="F44" s="73" t="s">
        <v>179</v>
      </c>
      <c r="G44" s="52" t="s">
        <v>122</v>
      </c>
      <c r="H44" s="53">
        <v>0.5</v>
      </c>
      <c r="I44" s="56" t="s">
        <v>33</v>
      </c>
      <c r="J44" s="58">
        <f t="shared" ref="J44:J46" si="7">IF(I44="H",1*H44,IF(I44="M",5*H44,IF(I44="L",10*H44)))</f>
        <v>5</v>
      </c>
      <c r="K44" s="59"/>
      <c r="L44" s="60"/>
      <c r="M44" s="61"/>
      <c r="N44" s="48"/>
      <c r="O44" s="48"/>
      <c r="P44" s="48"/>
      <c r="Q44" s="48"/>
      <c r="R44" s="48"/>
      <c r="S44" s="48"/>
      <c r="T44" s="48"/>
      <c r="U44" s="48"/>
      <c r="V44" s="48"/>
      <c r="W44" s="48"/>
      <c r="X44" s="48"/>
      <c r="Y44" s="48"/>
      <c r="Z44" s="48"/>
    </row>
    <row r="45" ht="57.0" customHeight="1">
      <c r="A45" s="48"/>
      <c r="B45" s="77">
        <v>6.2</v>
      </c>
      <c r="C45" s="50" t="s">
        <v>176</v>
      </c>
      <c r="D45" s="23" t="s">
        <v>177</v>
      </c>
      <c r="E45" s="23" t="s">
        <v>184</v>
      </c>
      <c r="F45" s="73" t="s">
        <v>185</v>
      </c>
      <c r="G45" s="52" t="s">
        <v>122</v>
      </c>
      <c r="H45" s="53">
        <v>0.5</v>
      </c>
      <c r="I45" s="56" t="s">
        <v>33</v>
      </c>
      <c r="J45" s="58">
        <f t="shared" si="7"/>
        <v>5</v>
      </c>
      <c r="K45" s="59"/>
      <c r="L45" s="60"/>
      <c r="M45" s="64"/>
      <c r="N45" s="48"/>
      <c r="O45" s="48"/>
      <c r="P45" s="48"/>
      <c r="Q45" s="48"/>
      <c r="R45" s="48"/>
      <c r="S45" s="48"/>
      <c r="T45" s="48"/>
      <c r="U45" s="48"/>
      <c r="V45" s="48"/>
      <c r="W45" s="48"/>
      <c r="X45" s="48"/>
      <c r="Y45" s="48"/>
      <c r="Z45" s="48"/>
    </row>
    <row r="46" ht="57.0" customHeight="1">
      <c r="A46" s="48"/>
      <c r="B46" s="77">
        <v>6.3</v>
      </c>
      <c r="C46" s="50" t="s">
        <v>176</v>
      </c>
      <c r="D46" s="23" t="s">
        <v>177</v>
      </c>
      <c r="E46" s="23" t="s">
        <v>186</v>
      </c>
      <c r="F46" s="73" t="s">
        <v>187</v>
      </c>
      <c r="G46" s="52" t="s">
        <v>122</v>
      </c>
      <c r="H46" s="53">
        <v>0.5</v>
      </c>
      <c r="I46" s="56" t="s">
        <v>33</v>
      </c>
      <c r="J46" s="58">
        <f t="shared" si="7"/>
        <v>5</v>
      </c>
      <c r="K46" s="59"/>
      <c r="L46" s="60"/>
      <c r="M46" s="64"/>
      <c r="N46" s="48"/>
      <c r="O46" s="48"/>
      <c r="P46" s="48"/>
      <c r="Q46" s="48"/>
      <c r="R46" s="48"/>
      <c r="S46" s="48"/>
      <c r="T46" s="48"/>
      <c r="U46" s="48"/>
      <c r="V46" s="48"/>
      <c r="W46" s="48"/>
      <c r="X46" s="48"/>
      <c r="Y46" s="48"/>
      <c r="Z46" s="48"/>
    </row>
    <row r="47" ht="57.0" customHeight="1">
      <c r="A47" s="48"/>
      <c r="B47" s="63"/>
      <c r="C47" s="65"/>
      <c r="D47" s="65"/>
      <c r="E47" s="65"/>
      <c r="F47" s="66"/>
      <c r="G47" s="67"/>
      <c r="H47" s="66"/>
      <c r="I47" s="66"/>
      <c r="J47" s="68">
        <f>SUM(J42:J46)</f>
        <v>25</v>
      </c>
      <c r="K47" s="69"/>
      <c r="L47" s="70"/>
      <c r="M47" s="71"/>
      <c r="N47" s="48"/>
      <c r="O47" s="48"/>
      <c r="P47" s="48"/>
      <c r="Q47" s="48"/>
      <c r="R47" s="48"/>
      <c r="S47" s="48"/>
      <c r="T47" s="48"/>
      <c r="U47" s="48"/>
      <c r="V47" s="48"/>
      <c r="W47" s="48"/>
      <c r="X47" s="48"/>
      <c r="Y47" s="48"/>
      <c r="Z47" s="48"/>
    </row>
    <row r="48" ht="57.0" customHeight="1">
      <c r="A48" s="48"/>
      <c r="B48" s="77">
        <v>6.5</v>
      </c>
      <c r="C48" s="23" t="s">
        <v>92</v>
      </c>
      <c r="D48" s="23" t="s">
        <v>190</v>
      </c>
      <c r="E48" s="23" t="s">
        <v>191</v>
      </c>
      <c r="F48" s="73" t="s">
        <v>193</v>
      </c>
      <c r="G48" s="52" t="s">
        <v>195</v>
      </c>
      <c r="H48" s="53">
        <v>1.0</v>
      </c>
      <c r="I48" s="56" t="s">
        <v>33</v>
      </c>
      <c r="J48" s="58">
        <f t="shared" ref="J48:J50" si="8">IF(I48="H",1*H48,IF(I48="M",5*H48,IF(I48="L",10*H48)))</f>
        <v>10</v>
      </c>
      <c r="K48" s="59"/>
      <c r="L48" s="60"/>
      <c r="M48" s="64"/>
      <c r="N48" s="48"/>
      <c r="O48" s="48"/>
      <c r="P48" s="48"/>
      <c r="Q48" s="48"/>
      <c r="R48" s="48"/>
      <c r="S48" s="48"/>
      <c r="T48" s="48"/>
      <c r="U48" s="48"/>
      <c r="V48" s="48"/>
      <c r="W48" s="48"/>
      <c r="X48" s="48"/>
      <c r="Y48" s="48"/>
      <c r="Z48" s="48"/>
    </row>
    <row r="49" ht="57.0" customHeight="1">
      <c r="A49" s="48"/>
      <c r="B49" s="77">
        <v>6.5</v>
      </c>
      <c r="C49" s="23" t="s">
        <v>92</v>
      </c>
      <c r="D49" s="23" t="s">
        <v>190</v>
      </c>
      <c r="E49" s="23" t="s">
        <v>199</v>
      </c>
      <c r="F49" s="73" t="s">
        <v>193</v>
      </c>
      <c r="G49" s="52" t="s">
        <v>202</v>
      </c>
      <c r="H49" s="53"/>
      <c r="I49" s="56" t="s">
        <v>33</v>
      </c>
      <c r="J49" s="58">
        <f t="shared" si="8"/>
        <v>0</v>
      </c>
      <c r="K49" s="59"/>
      <c r="L49" s="60"/>
      <c r="M49" s="64"/>
      <c r="N49" s="48"/>
      <c r="O49" s="48"/>
      <c r="P49" s="48"/>
      <c r="Q49" s="48"/>
      <c r="R49" s="48"/>
      <c r="S49" s="48"/>
      <c r="T49" s="48"/>
      <c r="U49" s="48"/>
      <c r="V49" s="48"/>
      <c r="W49" s="48"/>
      <c r="X49" s="48"/>
      <c r="Y49" s="48"/>
      <c r="Z49" s="48"/>
    </row>
    <row r="50" ht="57.0" customHeight="1">
      <c r="A50" s="48"/>
      <c r="B50" s="77">
        <v>6.6</v>
      </c>
      <c r="C50" s="23" t="s">
        <v>92</v>
      </c>
      <c r="D50" s="23" t="s">
        <v>190</v>
      </c>
      <c r="E50" s="23" t="s">
        <v>203</v>
      </c>
      <c r="F50" s="73" t="s">
        <v>204</v>
      </c>
      <c r="G50" s="52" t="s">
        <v>205</v>
      </c>
      <c r="H50" s="53">
        <v>1.0</v>
      </c>
      <c r="I50" s="56" t="s">
        <v>33</v>
      </c>
      <c r="J50" s="58">
        <f t="shared" si="8"/>
        <v>10</v>
      </c>
      <c r="K50" s="59"/>
      <c r="L50" s="60"/>
      <c r="M50" s="61"/>
      <c r="N50" s="48"/>
      <c r="O50" s="48"/>
      <c r="P50" s="48"/>
      <c r="Q50" s="48"/>
      <c r="R50" s="48"/>
      <c r="S50" s="48"/>
      <c r="T50" s="48"/>
      <c r="U50" s="48"/>
      <c r="V50" s="48"/>
      <c r="W50" s="48"/>
      <c r="X50" s="48"/>
      <c r="Y50" s="48"/>
      <c r="Z50" s="48"/>
    </row>
    <row r="51" ht="57.0" customHeight="1">
      <c r="B51" s="79"/>
      <c r="C51" s="80"/>
      <c r="D51" s="80"/>
      <c r="E51" s="80"/>
      <c r="F51" s="82"/>
      <c r="G51" s="81"/>
      <c r="H51" s="82"/>
      <c r="I51" s="82"/>
      <c r="J51" s="83">
        <f>SUM(J44:J50)</f>
        <v>60</v>
      </c>
      <c r="K51" s="84"/>
      <c r="L51" s="85"/>
      <c r="M51" s="86"/>
    </row>
    <row r="52" ht="27.0" customHeight="1">
      <c r="C52" s="1"/>
      <c r="D52" s="1"/>
      <c r="E52" s="1"/>
      <c r="G52" s="2"/>
    </row>
    <row r="53" ht="27.0" customHeight="1">
      <c r="C53" s="1"/>
      <c r="D53" s="1"/>
      <c r="E53" s="1"/>
      <c r="G53" s="2"/>
    </row>
    <row r="54" ht="27.0" customHeight="1">
      <c r="C54" s="1"/>
      <c r="D54" s="1"/>
      <c r="E54" s="1"/>
      <c r="G54" s="2"/>
    </row>
    <row r="55" ht="27.0" customHeight="1">
      <c r="C55" s="1"/>
      <c r="D55" s="1"/>
      <c r="E55" s="1"/>
      <c r="G55" s="2"/>
    </row>
    <row r="56" ht="27.0" customHeight="1">
      <c r="C56" s="1"/>
      <c r="D56" s="1"/>
      <c r="E56" s="1"/>
      <c r="G56" s="2"/>
    </row>
    <row r="57" ht="27.0" customHeight="1">
      <c r="C57" s="1"/>
      <c r="D57" s="1"/>
      <c r="E57" s="1"/>
      <c r="G57" s="2"/>
    </row>
    <row r="58" ht="27.0" customHeight="1">
      <c r="C58" s="1"/>
      <c r="D58" s="1"/>
      <c r="E58" s="1"/>
      <c r="G58" s="2"/>
    </row>
    <row r="59" ht="27.0" customHeight="1">
      <c r="C59" s="1"/>
      <c r="D59" s="1"/>
      <c r="E59" s="1"/>
      <c r="G59" s="2"/>
    </row>
    <row r="60" ht="27.0" customHeight="1">
      <c r="C60" s="1"/>
      <c r="D60" s="1"/>
      <c r="E60" s="1"/>
      <c r="G60" s="2"/>
    </row>
    <row r="61" ht="27.0" customHeight="1">
      <c r="C61" s="1"/>
      <c r="D61" s="1"/>
      <c r="E61" s="1"/>
      <c r="G61" s="2"/>
    </row>
    <row r="62" ht="27.0" customHeight="1">
      <c r="C62" s="1"/>
      <c r="D62" s="1"/>
      <c r="E62" s="1"/>
      <c r="G62" s="2"/>
    </row>
    <row r="63" ht="27.0" customHeight="1">
      <c r="C63" s="1"/>
      <c r="D63" s="1"/>
      <c r="E63" s="1"/>
      <c r="G63" s="2"/>
    </row>
    <row r="64" ht="27.0" customHeight="1">
      <c r="C64" s="1"/>
      <c r="D64" s="1"/>
      <c r="E64" s="1"/>
      <c r="G64" s="2"/>
    </row>
    <row r="65" ht="27.0" customHeight="1">
      <c r="C65" s="1"/>
      <c r="D65" s="1"/>
      <c r="E65" s="1"/>
      <c r="G65" s="2"/>
    </row>
    <row r="66" ht="27.0" customHeight="1">
      <c r="C66" s="1"/>
      <c r="D66" s="1"/>
      <c r="E66" s="1"/>
      <c r="G66" s="2"/>
    </row>
    <row r="67" ht="27.0" customHeight="1">
      <c r="C67" s="1"/>
      <c r="D67" s="1"/>
      <c r="E67" s="1"/>
      <c r="G67" s="2"/>
    </row>
    <row r="68" ht="27.0" customHeight="1">
      <c r="C68" s="1"/>
      <c r="D68" s="1"/>
      <c r="E68" s="1"/>
      <c r="G68" s="2"/>
    </row>
    <row r="69" ht="27.0" customHeight="1">
      <c r="C69" s="1"/>
      <c r="D69" s="1"/>
      <c r="E69" s="1"/>
      <c r="G69" s="2"/>
    </row>
    <row r="70" ht="27.0" customHeight="1">
      <c r="C70" s="1"/>
      <c r="D70" s="1"/>
      <c r="E70" s="1"/>
      <c r="G70" s="2"/>
    </row>
    <row r="71" ht="27.0" customHeight="1">
      <c r="C71" s="1"/>
      <c r="D71" s="1"/>
      <c r="E71" s="1"/>
      <c r="G71" s="2"/>
    </row>
    <row r="72" ht="27.0" customHeight="1">
      <c r="C72" s="1"/>
      <c r="D72" s="1"/>
      <c r="E72" s="1"/>
      <c r="G72" s="2"/>
    </row>
    <row r="73" ht="27.0" customHeight="1">
      <c r="C73" s="1"/>
      <c r="D73" s="1"/>
      <c r="E73" s="1"/>
      <c r="G73" s="2"/>
    </row>
    <row r="74" ht="27.0" customHeight="1">
      <c r="C74" s="1"/>
      <c r="D74" s="1"/>
      <c r="E74" s="1"/>
      <c r="G74" s="2"/>
    </row>
    <row r="75" ht="27.0" customHeight="1">
      <c r="C75" s="1"/>
      <c r="D75" s="1"/>
      <c r="E75" s="1"/>
      <c r="G75" s="2"/>
    </row>
    <row r="76" ht="27.0" customHeight="1">
      <c r="C76" s="1"/>
      <c r="D76" s="1"/>
      <c r="E76" s="1"/>
      <c r="G76" s="2"/>
    </row>
    <row r="77" ht="27.0" customHeight="1">
      <c r="C77" s="1"/>
      <c r="D77" s="1"/>
      <c r="E77" s="1"/>
      <c r="G77" s="2"/>
    </row>
    <row r="78" ht="27.0" customHeight="1">
      <c r="C78" s="1"/>
      <c r="D78" s="1"/>
      <c r="E78" s="1"/>
      <c r="G78" s="2"/>
    </row>
    <row r="79" ht="27.0" customHeight="1">
      <c r="C79" s="1"/>
      <c r="D79" s="1"/>
      <c r="E79" s="1"/>
      <c r="G79" s="2"/>
    </row>
    <row r="80" ht="27.0" customHeight="1">
      <c r="C80" s="1"/>
      <c r="D80" s="1"/>
      <c r="E80" s="1"/>
      <c r="G80" s="2"/>
    </row>
    <row r="81" ht="27.0" customHeight="1">
      <c r="C81" s="1"/>
      <c r="D81" s="1"/>
      <c r="E81" s="1"/>
      <c r="G81" s="2"/>
    </row>
    <row r="82" ht="27.0" customHeight="1">
      <c r="C82" s="1"/>
      <c r="D82" s="1"/>
      <c r="E82" s="1"/>
      <c r="G82" s="2"/>
    </row>
    <row r="83" ht="27.0" customHeight="1">
      <c r="C83" s="1"/>
      <c r="D83" s="1"/>
      <c r="E83" s="1"/>
      <c r="G83" s="2"/>
    </row>
    <row r="84" ht="27.0" customHeight="1">
      <c r="C84" s="1"/>
      <c r="D84" s="1"/>
      <c r="E84" s="1"/>
      <c r="G84" s="2"/>
    </row>
    <row r="85" ht="27.0" customHeight="1">
      <c r="C85" s="1"/>
      <c r="D85" s="1"/>
      <c r="E85" s="1"/>
      <c r="G85" s="2"/>
    </row>
    <row r="86" ht="27.0" customHeight="1">
      <c r="C86" s="1"/>
      <c r="D86" s="1"/>
      <c r="E86" s="1"/>
      <c r="G86" s="2"/>
    </row>
    <row r="87" ht="27.0" customHeight="1">
      <c r="C87" s="1"/>
      <c r="D87" s="1"/>
      <c r="E87" s="1"/>
      <c r="G87" s="2"/>
    </row>
    <row r="88" ht="27.0" customHeight="1">
      <c r="C88" s="1"/>
      <c r="D88" s="1"/>
      <c r="E88" s="1"/>
      <c r="G88" s="2"/>
    </row>
    <row r="89" ht="27.0" customHeight="1">
      <c r="C89" s="1"/>
      <c r="D89" s="1"/>
      <c r="E89" s="1"/>
      <c r="G89" s="2"/>
    </row>
    <row r="90" ht="27.0" customHeight="1">
      <c r="C90" s="1"/>
      <c r="D90" s="1"/>
      <c r="E90" s="1"/>
      <c r="G90" s="2"/>
    </row>
    <row r="91" ht="27.0" customHeight="1">
      <c r="C91" s="1"/>
      <c r="D91" s="1"/>
      <c r="E91" s="1"/>
      <c r="G91" s="2"/>
    </row>
    <row r="92" ht="27.0" customHeight="1">
      <c r="C92" s="1"/>
      <c r="D92" s="1"/>
      <c r="E92" s="1"/>
      <c r="G92" s="2"/>
    </row>
    <row r="93" ht="27.0" customHeight="1">
      <c r="C93" s="1"/>
      <c r="D93" s="1"/>
      <c r="E93" s="1"/>
      <c r="G93" s="2"/>
    </row>
    <row r="94" ht="27.0" customHeight="1">
      <c r="C94" s="1"/>
      <c r="D94" s="1"/>
      <c r="E94" s="1"/>
      <c r="G94" s="2"/>
    </row>
    <row r="95" ht="27.0" customHeight="1">
      <c r="C95" s="1"/>
      <c r="D95" s="1"/>
      <c r="E95" s="1"/>
      <c r="G95" s="2"/>
    </row>
    <row r="96" ht="27.0" customHeight="1">
      <c r="C96" s="1"/>
      <c r="D96" s="1"/>
      <c r="E96" s="1"/>
      <c r="G96" s="2"/>
    </row>
    <row r="97" ht="27.0" customHeight="1">
      <c r="C97" s="1"/>
      <c r="D97" s="1"/>
      <c r="E97" s="1"/>
      <c r="G97" s="2"/>
    </row>
    <row r="98" ht="27.0" customHeight="1">
      <c r="C98" s="1"/>
      <c r="D98" s="1"/>
      <c r="E98" s="1"/>
      <c r="G98" s="2"/>
    </row>
    <row r="99" ht="27.0" customHeight="1">
      <c r="C99" s="1"/>
      <c r="D99" s="1"/>
      <c r="E99" s="1"/>
      <c r="G99" s="2"/>
    </row>
    <row r="100" ht="27.0" customHeight="1">
      <c r="C100" s="1"/>
      <c r="D100" s="1"/>
      <c r="E100" s="1"/>
      <c r="G100" s="2"/>
    </row>
    <row r="101" ht="27.0" customHeight="1">
      <c r="C101" s="1"/>
      <c r="D101" s="1"/>
      <c r="E101" s="1"/>
      <c r="G101" s="2"/>
    </row>
    <row r="102" ht="27.0" customHeight="1">
      <c r="C102" s="1"/>
      <c r="D102" s="1"/>
      <c r="E102" s="1"/>
      <c r="G102" s="2"/>
    </row>
    <row r="103" ht="27.0" customHeight="1">
      <c r="C103" s="1"/>
      <c r="D103" s="1"/>
      <c r="E103" s="1"/>
      <c r="G103" s="2"/>
    </row>
    <row r="104" ht="27.0" customHeight="1">
      <c r="C104" s="1"/>
      <c r="D104" s="1"/>
      <c r="E104" s="1"/>
      <c r="G104" s="2"/>
    </row>
    <row r="105" ht="27.0" customHeight="1">
      <c r="C105" s="1"/>
      <c r="D105" s="1"/>
      <c r="E105" s="1"/>
      <c r="G105" s="2"/>
    </row>
    <row r="106" ht="27.0" customHeight="1">
      <c r="C106" s="1"/>
      <c r="D106" s="1"/>
      <c r="E106" s="1"/>
      <c r="G106" s="2"/>
    </row>
    <row r="107" ht="27.0" customHeight="1">
      <c r="C107" s="1"/>
      <c r="D107" s="1"/>
      <c r="E107" s="1"/>
      <c r="G107" s="2"/>
    </row>
    <row r="108" ht="27.0" customHeight="1">
      <c r="C108" s="1"/>
      <c r="D108" s="1"/>
      <c r="E108" s="1"/>
      <c r="G108" s="2"/>
    </row>
    <row r="109" ht="27.0" customHeight="1">
      <c r="C109" s="1"/>
      <c r="D109" s="1"/>
      <c r="E109" s="1"/>
      <c r="G109" s="2"/>
    </row>
    <row r="110" ht="27.0" customHeight="1">
      <c r="C110" s="1"/>
      <c r="D110" s="1"/>
      <c r="E110" s="1"/>
      <c r="G110" s="2"/>
    </row>
    <row r="111" ht="27.0" customHeight="1">
      <c r="C111" s="1"/>
      <c r="D111" s="1"/>
      <c r="E111" s="1"/>
      <c r="G111" s="2"/>
    </row>
    <row r="112" ht="27.0" customHeight="1">
      <c r="C112" s="1"/>
      <c r="D112" s="1"/>
      <c r="E112" s="1"/>
      <c r="G112" s="2"/>
    </row>
    <row r="113" ht="27.0" customHeight="1">
      <c r="C113" s="1"/>
      <c r="D113" s="1"/>
      <c r="E113" s="1"/>
      <c r="G113" s="2"/>
    </row>
    <row r="114" ht="27.0" customHeight="1">
      <c r="C114" s="1"/>
      <c r="D114" s="1"/>
      <c r="E114" s="1"/>
      <c r="G114" s="2"/>
    </row>
    <row r="115" ht="27.0" customHeight="1">
      <c r="C115" s="1"/>
      <c r="D115" s="1"/>
      <c r="E115" s="1"/>
      <c r="G115" s="2"/>
    </row>
    <row r="116" ht="27.0" customHeight="1">
      <c r="C116" s="1"/>
      <c r="D116" s="1"/>
      <c r="E116" s="1"/>
      <c r="G116" s="2"/>
    </row>
    <row r="117" ht="27.0" customHeight="1">
      <c r="C117" s="1"/>
      <c r="D117" s="1"/>
      <c r="E117" s="1"/>
      <c r="G117" s="2"/>
    </row>
    <row r="118" ht="27.0" customHeight="1">
      <c r="C118" s="1"/>
      <c r="D118" s="1"/>
      <c r="E118" s="1"/>
      <c r="G118" s="2"/>
    </row>
    <row r="119" ht="27.0" customHeight="1">
      <c r="C119" s="1"/>
      <c r="D119" s="1"/>
      <c r="E119" s="1"/>
      <c r="G119" s="2"/>
    </row>
    <row r="120" ht="27.0" customHeight="1">
      <c r="C120" s="1"/>
      <c r="D120" s="1"/>
      <c r="E120" s="1"/>
      <c r="G120" s="2"/>
    </row>
    <row r="121" ht="27.0" customHeight="1">
      <c r="C121" s="1"/>
      <c r="D121" s="1"/>
      <c r="E121" s="1"/>
      <c r="G121" s="2"/>
    </row>
    <row r="122" ht="27.0" customHeight="1">
      <c r="C122" s="1"/>
      <c r="D122" s="1"/>
      <c r="E122" s="1"/>
      <c r="G122" s="2"/>
    </row>
    <row r="123" ht="27.0" customHeight="1">
      <c r="C123" s="1"/>
      <c r="D123" s="1"/>
      <c r="E123" s="1"/>
      <c r="G123" s="2"/>
    </row>
    <row r="124" ht="27.0" customHeight="1">
      <c r="C124" s="1"/>
      <c r="D124" s="1"/>
      <c r="E124" s="1"/>
      <c r="G124" s="2"/>
    </row>
    <row r="125" ht="27.0" customHeight="1">
      <c r="C125" s="1"/>
      <c r="D125" s="1"/>
      <c r="E125" s="1"/>
      <c r="G125" s="2"/>
    </row>
    <row r="126" ht="27.0" customHeight="1">
      <c r="C126" s="1"/>
      <c r="D126" s="1"/>
      <c r="E126" s="1"/>
      <c r="G126" s="2"/>
    </row>
    <row r="127" ht="27.0" customHeight="1">
      <c r="C127" s="1"/>
      <c r="D127" s="1"/>
      <c r="E127" s="1"/>
      <c r="G127" s="2"/>
    </row>
    <row r="128" ht="27.0" customHeight="1">
      <c r="C128" s="1"/>
      <c r="D128" s="1"/>
      <c r="E128" s="1"/>
      <c r="G128" s="2"/>
    </row>
    <row r="129" ht="27.0" customHeight="1">
      <c r="C129" s="1"/>
      <c r="D129" s="1"/>
      <c r="E129" s="1"/>
      <c r="G129" s="2"/>
    </row>
    <row r="130" ht="27.0" customHeight="1">
      <c r="C130" s="1"/>
      <c r="D130" s="1"/>
      <c r="E130" s="1"/>
      <c r="G130" s="2"/>
    </row>
    <row r="131" ht="27.0" customHeight="1">
      <c r="C131" s="1"/>
      <c r="D131" s="1"/>
      <c r="E131" s="1"/>
      <c r="G131" s="2"/>
    </row>
    <row r="132" ht="27.0" customHeight="1">
      <c r="C132" s="1"/>
      <c r="D132" s="1"/>
      <c r="E132" s="1"/>
      <c r="G132" s="2"/>
    </row>
    <row r="133" ht="27.0" customHeight="1">
      <c r="C133" s="1"/>
      <c r="D133" s="1"/>
      <c r="E133" s="1"/>
      <c r="G133" s="2"/>
    </row>
    <row r="134" ht="27.0" customHeight="1">
      <c r="C134" s="1"/>
      <c r="D134" s="1"/>
      <c r="E134" s="1"/>
      <c r="G134" s="2"/>
    </row>
    <row r="135" ht="27.0" customHeight="1">
      <c r="C135" s="1"/>
      <c r="D135" s="1"/>
      <c r="E135" s="1"/>
      <c r="G135" s="2"/>
    </row>
    <row r="136" ht="27.0" customHeight="1">
      <c r="C136" s="1"/>
      <c r="D136" s="1"/>
      <c r="E136" s="1"/>
      <c r="G136" s="2"/>
    </row>
    <row r="137" ht="27.0" customHeight="1">
      <c r="C137" s="1"/>
      <c r="D137" s="1"/>
      <c r="E137" s="1"/>
      <c r="G137" s="2"/>
    </row>
    <row r="138" ht="27.0" customHeight="1">
      <c r="C138" s="1"/>
      <c r="D138" s="1"/>
      <c r="E138" s="1"/>
      <c r="G138" s="2"/>
    </row>
    <row r="139" ht="27.0" customHeight="1">
      <c r="C139" s="1"/>
      <c r="D139" s="1"/>
      <c r="E139" s="1"/>
      <c r="G139" s="2"/>
    </row>
    <row r="140" ht="27.0" customHeight="1">
      <c r="C140" s="1"/>
      <c r="D140" s="1"/>
      <c r="E140" s="1"/>
      <c r="G140" s="2"/>
    </row>
    <row r="141" ht="27.0" customHeight="1">
      <c r="C141" s="1"/>
      <c r="D141" s="1"/>
      <c r="E141" s="1"/>
      <c r="G141" s="2"/>
    </row>
    <row r="142" ht="27.0" customHeight="1">
      <c r="C142" s="1"/>
      <c r="D142" s="1"/>
      <c r="E142" s="1"/>
      <c r="G142" s="2"/>
    </row>
    <row r="143" ht="27.0" customHeight="1">
      <c r="C143" s="1"/>
      <c r="D143" s="1"/>
      <c r="E143" s="1"/>
      <c r="G143" s="2"/>
    </row>
    <row r="144" ht="27.0" customHeight="1">
      <c r="C144" s="1"/>
      <c r="D144" s="1"/>
      <c r="E144" s="1"/>
      <c r="G144" s="2"/>
    </row>
    <row r="145" ht="27.0" customHeight="1">
      <c r="C145" s="1"/>
      <c r="D145" s="1"/>
      <c r="E145" s="1"/>
      <c r="G145" s="2"/>
    </row>
    <row r="146" ht="27.0" customHeight="1">
      <c r="C146" s="1"/>
      <c r="D146" s="1"/>
      <c r="E146" s="1"/>
      <c r="G146" s="2"/>
    </row>
    <row r="147" ht="27.0" customHeight="1">
      <c r="C147" s="1"/>
      <c r="D147" s="1"/>
      <c r="E147" s="1"/>
      <c r="G147" s="2"/>
    </row>
    <row r="148" ht="27.0" customHeight="1">
      <c r="C148" s="1"/>
      <c r="D148" s="1"/>
      <c r="E148" s="1"/>
      <c r="G148" s="2"/>
    </row>
    <row r="149" ht="27.0" customHeight="1">
      <c r="C149" s="1"/>
      <c r="D149" s="1"/>
      <c r="E149" s="1"/>
      <c r="G149" s="2"/>
    </row>
    <row r="150" ht="27.0" customHeight="1">
      <c r="C150" s="1"/>
      <c r="D150" s="1"/>
      <c r="E150" s="1"/>
      <c r="G150" s="2"/>
    </row>
    <row r="151" ht="27.0" customHeight="1">
      <c r="C151" s="1"/>
      <c r="D151" s="1"/>
      <c r="E151" s="1"/>
      <c r="G151" s="2"/>
    </row>
    <row r="152" ht="27.0" customHeight="1">
      <c r="C152" s="1"/>
      <c r="D152" s="1"/>
      <c r="E152" s="1"/>
      <c r="G152" s="2"/>
    </row>
    <row r="153" ht="27.0" customHeight="1">
      <c r="C153" s="1"/>
      <c r="D153" s="1"/>
      <c r="E153" s="1"/>
      <c r="G153" s="2"/>
    </row>
    <row r="154" ht="27.0" customHeight="1">
      <c r="C154" s="1"/>
      <c r="D154" s="1"/>
      <c r="E154" s="1"/>
      <c r="G154" s="2"/>
    </row>
    <row r="155" ht="27.0" customHeight="1">
      <c r="C155" s="1"/>
      <c r="D155" s="1"/>
      <c r="E155" s="1"/>
      <c r="G155" s="2"/>
    </row>
    <row r="156" ht="27.0" customHeight="1">
      <c r="C156" s="1"/>
      <c r="D156" s="1"/>
      <c r="E156" s="1"/>
      <c r="G156" s="2"/>
    </row>
    <row r="157" ht="27.0" customHeight="1">
      <c r="C157" s="1"/>
      <c r="D157" s="1"/>
      <c r="E157" s="1"/>
      <c r="G157" s="2"/>
    </row>
    <row r="158" ht="27.0" customHeight="1">
      <c r="C158" s="1"/>
      <c r="D158" s="1"/>
      <c r="E158" s="1"/>
      <c r="G158" s="2"/>
    </row>
    <row r="159" ht="27.0" customHeight="1">
      <c r="C159" s="1"/>
      <c r="D159" s="1"/>
      <c r="E159" s="1"/>
      <c r="G159" s="2"/>
    </row>
    <row r="160" ht="27.0" customHeight="1">
      <c r="C160" s="1"/>
      <c r="D160" s="1"/>
      <c r="E160" s="1"/>
      <c r="G160" s="2"/>
    </row>
    <row r="161" ht="27.0" customHeight="1">
      <c r="C161" s="1"/>
      <c r="D161" s="1"/>
      <c r="E161" s="1"/>
      <c r="G161" s="2"/>
    </row>
    <row r="162" ht="27.0" customHeight="1">
      <c r="C162" s="1"/>
      <c r="D162" s="1"/>
      <c r="E162" s="1"/>
      <c r="G162" s="2"/>
    </row>
    <row r="163" ht="27.0" customHeight="1">
      <c r="C163" s="1"/>
      <c r="D163" s="1"/>
      <c r="E163" s="1"/>
      <c r="G163" s="2"/>
    </row>
    <row r="164" ht="27.0" customHeight="1">
      <c r="C164" s="1"/>
      <c r="D164" s="1"/>
      <c r="E164" s="1"/>
      <c r="G164" s="2"/>
    </row>
    <row r="165" ht="27.0" customHeight="1">
      <c r="C165" s="1"/>
      <c r="D165" s="1"/>
      <c r="E165" s="1"/>
      <c r="G165" s="2"/>
    </row>
    <row r="166" ht="27.0" customHeight="1">
      <c r="C166" s="1"/>
      <c r="D166" s="1"/>
      <c r="E166" s="1"/>
      <c r="G166" s="2"/>
    </row>
    <row r="167" ht="27.0" customHeight="1">
      <c r="C167" s="1"/>
      <c r="D167" s="1"/>
      <c r="E167" s="1"/>
      <c r="G167" s="2"/>
    </row>
    <row r="168" ht="27.0" customHeight="1">
      <c r="C168" s="1"/>
      <c r="D168" s="1"/>
      <c r="E168" s="1"/>
      <c r="G168" s="2"/>
    </row>
    <row r="169" ht="27.0" customHeight="1">
      <c r="C169" s="1"/>
      <c r="D169" s="1"/>
      <c r="E169" s="1"/>
      <c r="G169" s="2"/>
    </row>
    <row r="170" ht="27.0" customHeight="1">
      <c r="C170" s="1"/>
      <c r="D170" s="1"/>
      <c r="E170" s="1"/>
      <c r="G170" s="2"/>
    </row>
    <row r="171" ht="27.0" customHeight="1">
      <c r="C171" s="1"/>
      <c r="D171" s="1"/>
      <c r="E171" s="1"/>
      <c r="G171" s="2"/>
    </row>
    <row r="172" ht="27.0" customHeight="1">
      <c r="C172" s="1"/>
      <c r="D172" s="1"/>
      <c r="E172" s="1"/>
      <c r="G172" s="2"/>
    </row>
    <row r="173" ht="27.0" customHeight="1">
      <c r="C173" s="1"/>
      <c r="D173" s="1"/>
      <c r="E173" s="1"/>
      <c r="G173" s="2"/>
    </row>
    <row r="174" ht="27.0" customHeight="1">
      <c r="C174" s="1"/>
      <c r="D174" s="1"/>
      <c r="E174" s="1"/>
      <c r="G174" s="2"/>
    </row>
    <row r="175" ht="27.0" customHeight="1">
      <c r="C175" s="1"/>
      <c r="D175" s="1"/>
      <c r="E175" s="1"/>
      <c r="G175" s="2"/>
    </row>
    <row r="176" ht="27.0" customHeight="1">
      <c r="C176" s="1"/>
      <c r="D176" s="1"/>
      <c r="E176" s="1"/>
      <c r="G176" s="2"/>
    </row>
    <row r="177" ht="27.0" customHeight="1">
      <c r="C177" s="1"/>
      <c r="D177" s="1"/>
      <c r="E177" s="1"/>
      <c r="G177" s="2"/>
    </row>
    <row r="178" ht="27.0" customHeight="1">
      <c r="C178" s="1"/>
      <c r="D178" s="1"/>
      <c r="E178" s="1"/>
      <c r="G178" s="2"/>
    </row>
    <row r="179" ht="27.0" customHeight="1">
      <c r="C179" s="1"/>
      <c r="D179" s="1"/>
      <c r="E179" s="1"/>
      <c r="G179" s="2"/>
    </row>
    <row r="180" ht="27.0" customHeight="1">
      <c r="C180" s="1"/>
      <c r="D180" s="1"/>
      <c r="E180" s="1"/>
      <c r="G180" s="2"/>
    </row>
    <row r="181" ht="27.0" customHeight="1">
      <c r="C181" s="1"/>
      <c r="D181" s="1"/>
      <c r="E181" s="1"/>
      <c r="G181" s="2"/>
    </row>
    <row r="182" ht="27.0" customHeight="1">
      <c r="C182" s="1"/>
      <c r="D182" s="1"/>
      <c r="E182" s="1"/>
      <c r="G182" s="2"/>
    </row>
    <row r="183" ht="27.0" customHeight="1">
      <c r="C183" s="1"/>
      <c r="D183" s="1"/>
      <c r="E183" s="1"/>
      <c r="G183" s="2"/>
    </row>
    <row r="184" ht="27.0" customHeight="1">
      <c r="C184" s="1"/>
      <c r="D184" s="1"/>
      <c r="E184" s="1"/>
      <c r="G184" s="2"/>
    </row>
    <row r="185" ht="27.0" customHeight="1">
      <c r="C185" s="1"/>
      <c r="D185" s="1"/>
      <c r="E185" s="1"/>
      <c r="G185" s="2"/>
    </row>
    <row r="186" ht="27.0" customHeight="1">
      <c r="C186" s="1"/>
      <c r="D186" s="1"/>
      <c r="E186" s="1"/>
      <c r="G186" s="2"/>
    </row>
    <row r="187" ht="27.0" customHeight="1">
      <c r="C187" s="1"/>
      <c r="D187" s="1"/>
      <c r="E187" s="1"/>
      <c r="G187" s="2"/>
    </row>
    <row r="188" ht="27.0" customHeight="1">
      <c r="C188" s="1"/>
      <c r="D188" s="1"/>
      <c r="E188" s="1"/>
      <c r="G188" s="2"/>
    </row>
    <row r="189" ht="27.0" customHeight="1">
      <c r="C189" s="1"/>
      <c r="D189" s="1"/>
      <c r="E189" s="1"/>
      <c r="G189" s="2"/>
    </row>
    <row r="190" ht="27.0" customHeight="1">
      <c r="C190" s="1"/>
      <c r="D190" s="1"/>
      <c r="E190" s="1"/>
      <c r="G190" s="2"/>
    </row>
    <row r="191" ht="27.0" customHeight="1">
      <c r="C191" s="1"/>
      <c r="D191" s="1"/>
      <c r="E191" s="1"/>
      <c r="G191" s="2"/>
    </row>
    <row r="192" ht="27.0" customHeight="1">
      <c r="C192" s="1"/>
      <c r="D192" s="1"/>
      <c r="E192" s="1"/>
      <c r="G192" s="2"/>
    </row>
    <row r="193" ht="27.0" customHeight="1">
      <c r="C193" s="1"/>
      <c r="D193" s="1"/>
      <c r="E193" s="1"/>
      <c r="G193" s="2"/>
    </row>
    <row r="194" ht="27.0" customHeight="1">
      <c r="C194" s="1"/>
      <c r="D194" s="1"/>
      <c r="E194" s="1"/>
      <c r="G194" s="2"/>
    </row>
    <row r="195" ht="27.0" customHeight="1">
      <c r="C195" s="1"/>
      <c r="D195" s="1"/>
      <c r="E195" s="1"/>
      <c r="G195" s="2"/>
    </row>
    <row r="196" ht="27.0" customHeight="1">
      <c r="C196" s="1"/>
      <c r="D196" s="1"/>
      <c r="E196" s="1"/>
      <c r="G196" s="2"/>
    </row>
    <row r="197" ht="27.0" customHeight="1">
      <c r="C197" s="1"/>
      <c r="D197" s="1"/>
      <c r="E197" s="1"/>
      <c r="G197" s="2"/>
    </row>
    <row r="198" ht="27.0" customHeight="1">
      <c r="C198" s="1"/>
      <c r="D198" s="1"/>
      <c r="E198" s="1"/>
      <c r="G198" s="2"/>
    </row>
    <row r="199" ht="27.0" customHeight="1">
      <c r="C199" s="1"/>
      <c r="D199" s="1"/>
      <c r="E199" s="1"/>
      <c r="G199" s="2"/>
    </row>
    <row r="200" ht="27.0" customHeight="1">
      <c r="C200" s="1"/>
      <c r="D200" s="1"/>
      <c r="E200" s="1"/>
      <c r="G200" s="2"/>
    </row>
    <row r="201" ht="27.0" customHeight="1">
      <c r="C201" s="1"/>
      <c r="D201" s="1"/>
      <c r="E201" s="1"/>
      <c r="G201" s="2"/>
    </row>
    <row r="202" ht="27.0" customHeight="1">
      <c r="C202" s="1"/>
      <c r="D202" s="1"/>
      <c r="E202" s="1"/>
      <c r="G202" s="2"/>
    </row>
    <row r="203" ht="27.0" customHeight="1">
      <c r="C203" s="1"/>
      <c r="D203" s="1"/>
      <c r="E203" s="1"/>
      <c r="G203" s="2"/>
    </row>
    <row r="204" ht="27.0" customHeight="1">
      <c r="C204" s="1"/>
      <c r="D204" s="1"/>
      <c r="E204" s="1"/>
      <c r="G204" s="2"/>
    </row>
    <row r="205" ht="27.0" customHeight="1">
      <c r="C205" s="1"/>
      <c r="D205" s="1"/>
      <c r="E205" s="1"/>
      <c r="G205" s="2"/>
    </row>
    <row r="206" ht="27.0" customHeight="1">
      <c r="C206" s="1"/>
      <c r="D206" s="1"/>
      <c r="E206" s="1"/>
      <c r="G206" s="2"/>
    </row>
    <row r="207" ht="27.0" customHeight="1">
      <c r="C207" s="1"/>
      <c r="D207" s="1"/>
      <c r="E207" s="1"/>
      <c r="G207" s="2"/>
    </row>
    <row r="208" ht="27.0" customHeight="1">
      <c r="C208" s="1"/>
      <c r="D208" s="1"/>
      <c r="E208" s="1"/>
      <c r="G208" s="2"/>
    </row>
    <row r="209" ht="27.0" customHeight="1">
      <c r="C209" s="1"/>
      <c r="D209" s="1"/>
      <c r="E209" s="1"/>
      <c r="G209" s="2"/>
    </row>
    <row r="210" ht="27.0" customHeight="1">
      <c r="C210" s="1"/>
      <c r="D210" s="1"/>
      <c r="E210" s="1"/>
      <c r="G210" s="2"/>
    </row>
    <row r="211" ht="27.0" customHeight="1">
      <c r="C211" s="1"/>
      <c r="D211" s="1"/>
      <c r="E211" s="1"/>
      <c r="G211" s="2"/>
    </row>
    <row r="212" ht="27.0" customHeight="1">
      <c r="C212" s="1"/>
      <c r="D212" s="1"/>
      <c r="E212" s="1"/>
      <c r="G212" s="2"/>
    </row>
    <row r="213" ht="27.0" customHeight="1">
      <c r="C213" s="1"/>
      <c r="D213" s="1"/>
      <c r="E213" s="1"/>
      <c r="G213" s="2"/>
    </row>
    <row r="214" ht="27.0" customHeight="1">
      <c r="C214" s="1"/>
      <c r="D214" s="1"/>
      <c r="E214" s="1"/>
      <c r="G214" s="2"/>
    </row>
    <row r="215" ht="27.0" customHeight="1">
      <c r="C215" s="1"/>
      <c r="D215" s="1"/>
      <c r="E215" s="1"/>
      <c r="G215" s="2"/>
    </row>
    <row r="216" ht="27.0" customHeight="1">
      <c r="C216" s="1"/>
      <c r="D216" s="1"/>
      <c r="E216" s="1"/>
      <c r="G216" s="2"/>
    </row>
    <row r="217" ht="27.0" customHeight="1">
      <c r="C217" s="1"/>
      <c r="D217" s="1"/>
      <c r="E217" s="1"/>
      <c r="G217" s="2"/>
    </row>
    <row r="218" ht="27.0" customHeight="1">
      <c r="C218" s="1"/>
      <c r="D218" s="1"/>
      <c r="E218" s="1"/>
      <c r="G218" s="2"/>
    </row>
    <row r="219" ht="27.0" customHeight="1">
      <c r="C219" s="1"/>
      <c r="D219" s="1"/>
      <c r="E219" s="1"/>
      <c r="G219" s="2"/>
    </row>
    <row r="220" ht="27.0" customHeight="1">
      <c r="C220" s="1"/>
      <c r="D220" s="1"/>
      <c r="E220" s="1"/>
      <c r="G220" s="2"/>
    </row>
    <row r="221" ht="27.0" customHeight="1">
      <c r="C221" s="1"/>
      <c r="D221" s="1"/>
      <c r="E221" s="1"/>
      <c r="G221" s="2"/>
    </row>
    <row r="222" ht="27.0" customHeight="1">
      <c r="C222" s="1"/>
      <c r="D222" s="1"/>
      <c r="E222" s="1"/>
      <c r="G222" s="2"/>
    </row>
    <row r="223" ht="27.0" customHeight="1">
      <c r="C223" s="1"/>
      <c r="D223" s="1"/>
      <c r="E223" s="1"/>
      <c r="G223" s="2"/>
    </row>
    <row r="224" ht="27.0" customHeight="1">
      <c r="C224" s="1"/>
      <c r="D224" s="1"/>
      <c r="E224" s="1"/>
      <c r="G224" s="2"/>
    </row>
    <row r="225" ht="27.0" customHeight="1">
      <c r="C225" s="1"/>
      <c r="D225" s="1"/>
      <c r="E225" s="1"/>
      <c r="G225" s="2"/>
    </row>
    <row r="226" ht="27.0" customHeight="1">
      <c r="C226" s="1"/>
      <c r="D226" s="1"/>
      <c r="E226" s="1"/>
      <c r="G226" s="2"/>
    </row>
    <row r="227" ht="27.0" customHeight="1">
      <c r="C227" s="1"/>
      <c r="D227" s="1"/>
      <c r="E227" s="1"/>
      <c r="G227" s="2"/>
    </row>
    <row r="228" ht="27.0" customHeight="1">
      <c r="C228" s="1"/>
      <c r="D228" s="1"/>
      <c r="E228" s="1"/>
      <c r="G228" s="2"/>
    </row>
    <row r="229" ht="27.0" customHeight="1">
      <c r="C229" s="1"/>
      <c r="D229" s="1"/>
      <c r="E229" s="1"/>
      <c r="G229" s="2"/>
    </row>
    <row r="230" ht="27.0" customHeight="1">
      <c r="C230" s="1"/>
      <c r="D230" s="1"/>
      <c r="E230" s="1"/>
      <c r="G230" s="2"/>
    </row>
    <row r="231" ht="27.0" customHeight="1">
      <c r="C231" s="1"/>
      <c r="D231" s="1"/>
      <c r="E231" s="1"/>
      <c r="G231" s="2"/>
    </row>
    <row r="232" ht="27.0" customHeight="1">
      <c r="C232" s="1"/>
      <c r="D232" s="1"/>
      <c r="E232" s="1"/>
      <c r="G232" s="2"/>
    </row>
    <row r="233" ht="27.0" customHeight="1">
      <c r="C233" s="1"/>
      <c r="D233" s="1"/>
      <c r="E233" s="1"/>
      <c r="G233" s="2"/>
    </row>
    <row r="234" ht="27.0" customHeight="1">
      <c r="C234" s="1"/>
      <c r="D234" s="1"/>
      <c r="E234" s="1"/>
      <c r="G234" s="2"/>
    </row>
    <row r="235" ht="27.0" customHeight="1">
      <c r="C235" s="1"/>
      <c r="D235" s="1"/>
      <c r="E235" s="1"/>
      <c r="G235" s="2"/>
    </row>
    <row r="236" ht="27.0" customHeight="1">
      <c r="C236" s="1"/>
      <c r="D236" s="1"/>
      <c r="E236" s="1"/>
      <c r="G236" s="2"/>
    </row>
    <row r="237" ht="27.0" customHeight="1">
      <c r="C237" s="1"/>
      <c r="D237" s="1"/>
      <c r="E237" s="1"/>
      <c r="G237" s="2"/>
    </row>
    <row r="238" ht="27.0" customHeight="1">
      <c r="C238" s="1"/>
      <c r="D238" s="1"/>
      <c r="E238" s="1"/>
      <c r="G238" s="2"/>
    </row>
    <row r="239" ht="27.0" customHeight="1">
      <c r="C239" s="1"/>
      <c r="D239" s="1"/>
      <c r="E239" s="1"/>
      <c r="G239" s="2"/>
    </row>
    <row r="240" ht="27.0" customHeight="1">
      <c r="C240" s="1"/>
      <c r="D240" s="1"/>
      <c r="E240" s="1"/>
      <c r="G240" s="2"/>
    </row>
    <row r="241" ht="27.0" customHeight="1">
      <c r="C241" s="1"/>
      <c r="D241" s="1"/>
      <c r="E241" s="1"/>
      <c r="G241" s="2"/>
    </row>
    <row r="242" ht="27.0" customHeight="1">
      <c r="C242" s="1"/>
      <c r="D242" s="1"/>
      <c r="E242" s="1"/>
      <c r="G242" s="2"/>
    </row>
    <row r="243" ht="27.0" customHeight="1">
      <c r="C243" s="1"/>
      <c r="D243" s="1"/>
      <c r="E243" s="1"/>
      <c r="G243" s="2"/>
    </row>
    <row r="244" ht="27.0" customHeight="1">
      <c r="C244" s="1"/>
      <c r="D244" s="1"/>
      <c r="E244" s="1"/>
      <c r="G244" s="2"/>
    </row>
    <row r="245" ht="27.0" customHeight="1">
      <c r="C245" s="1"/>
      <c r="D245" s="1"/>
      <c r="E245" s="1"/>
      <c r="G245" s="2"/>
    </row>
    <row r="246" ht="27.0" customHeight="1">
      <c r="C246" s="1"/>
      <c r="D246" s="1"/>
      <c r="E246" s="1"/>
      <c r="G246" s="2"/>
    </row>
    <row r="247" ht="27.0" customHeight="1">
      <c r="C247" s="1"/>
      <c r="D247" s="1"/>
      <c r="E247" s="1"/>
      <c r="G247" s="2"/>
    </row>
    <row r="248" ht="27.0" customHeight="1">
      <c r="C248" s="1"/>
      <c r="D248" s="1"/>
      <c r="E248" s="1"/>
      <c r="G248" s="2"/>
    </row>
    <row r="249" ht="27.0" customHeight="1">
      <c r="C249" s="1"/>
      <c r="D249" s="1"/>
      <c r="E249" s="1"/>
      <c r="G249" s="2"/>
    </row>
    <row r="250" ht="27.0" customHeight="1">
      <c r="C250" s="1"/>
      <c r="D250" s="1"/>
      <c r="E250" s="1"/>
      <c r="G250" s="2"/>
    </row>
    <row r="251" ht="27.0" customHeight="1">
      <c r="C251" s="1"/>
      <c r="D251" s="1"/>
      <c r="E251" s="1"/>
      <c r="G251" s="2"/>
    </row>
    <row r="252" ht="27.0" customHeight="1">
      <c r="C252" s="1"/>
      <c r="D252" s="1"/>
      <c r="E252" s="1"/>
      <c r="G252" s="2"/>
    </row>
    <row r="253" ht="27.0" customHeight="1">
      <c r="C253" s="1"/>
      <c r="D253" s="1"/>
      <c r="E253" s="1"/>
      <c r="G253" s="2"/>
    </row>
    <row r="254" ht="27.0" customHeight="1">
      <c r="C254" s="1"/>
      <c r="D254" s="1"/>
      <c r="E254" s="1"/>
      <c r="G254" s="2"/>
    </row>
    <row r="255" ht="27.0" customHeight="1">
      <c r="C255" s="1"/>
      <c r="D255" s="1"/>
      <c r="E255" s="1"/>
      <c r="G255" s="2"/>
    </row>
    <row r="256" ht="27.0" customHeight="1">
      <c r="C256" s="1"/>
      <c r="D256" s="1"/>
      <c r="E256" s="1"/>
      <c r="G256" s="2"/>
    </row>
    <row r="257" ht="27.0" customHeight="1">
      <c r="C257" s="1"/>
      <c r="D257" s="1"/>
      <c r="E257" s="1"/>
      <c r="G257" s="2"/>
    </row>
    <row r="258" ht="27.0" customHeight="1">
      <c r="C258" s="1"/>
      <c r="D258" s="1"/>
      <c r="E258" s="1"/>
      <c r="G258" s="2"/>
    </row>
    <row r="259" ht="27.0" customHeight="1">
      <c r="C259" s="1"/>
      <c r="D259" s="1"/>
      <c r="E259" s="1"/>
      <c r="G259" s="2"/>
    </row>
    <row r="260" ht="27.0" customHeight="1">
      <c r="C260" s="1"/>
      <c r="D260" s="1"/>
      <c r="E260" s="1"/>
      <c r="G260" s="2"/>
    </row>
    <row r="261" ht="27.0" customHeight="1">
      <c r="C261" s="1"/>
      <c r="D261" s="1"/>
      <c r="E261" s="1"/>
      <c r="G261" s="2"/>
    </row>
    <row r="262" ht="27.0" customHeight="1">
      <c r="C262" s="1"/>
      <c r="D262" s="1"/>
      <c r="E262" s="1"/>
      <c r="G262" s="2"/>
    </row>
    <row r="263" ht="27.0" customHeight="1">
      <c r="C263" s="1"/>
      <c r="D263" s="1"/>
      <c r="E263" s="1"/>
      <c r="G263" s="2"/>
    </row>
    <row r="264" ht="27.0" customHeight="1">
      <c r="C264" s="1"/>
      <c r="D264" s="1"/>
      <c r="E264" s="1"/>
      <c r="G264" s="2"/>
    </row>
    <row r="265" ht="27.0" customHeight="1">
      <c r="C265" s="1"/>
      <c r="D265" s="1"/>
      <c r="E265" s="1"/>
      <c r="G265" s="2"/>
    </row>
    <row r="266" ht="27.0" customHeight="1">
      <c r="C266" s="1"/>
      <c r="D266" s="1"/>
      <c r="E266" s="1"/>
      <c r="G266" s="2"/>
    </row>
    <row r="267" ht="27.0" customHeight="1">
      <c r="C267" s="1"/>
      <c r="D267" s="1"/>
      <c r="E267" s="1"/>
      <c r="G267" s="2"/>
    </row>
    <row r="268" ht="27.0" customHeight="1">
      <c r="C268" s="1"/>
      <c r="D268" s="1"/>
      <c r="E268" s="1"/>
      <c r="G268" s="2"/>
    </row>
    <row r="269" ht="27.0" customHeight="1">
      <c r="C269" s="1"/>
      <c r="D269" s="1"/>
      <c r="E269" s="1"/>
      <c r="G269" s="2"/>
    </row>
    <row r="270" ht="27.0" customHeight="1">
      <c r="C270" s="1"/>
      <c r="D270" s="1"/>
      <c r="E270" s="1"/>
      <c r="G270" s="2"/>
    </row>
    <row r="271" ht="27.0" customHeight="1">
      <c r="C271" s="1"/>
      <c r="D271" s="1"/>
      <c r="E271" s="1"/>
      <c r="G271" s="2"/>
    </row>
    <row r="272" ht="27.0" customHeight="1">
      <c r="C272" s="1"/>
      <c r="D272" s="1"/>
      <c r="E272" s="1"/>
      <c r="G272" s="2"/>
    </row>
    <row r="273" ht="27.0" customHeight="1">
      <c r="C273" s="1"/>
      <c r="D273" s="1"/>
      <c r="E273" s="1"/>
      <c r="G273" s="2"/>
    </row>
    <row r="274" ht="27.0" customHeight="1">
      <c r="C274" s="1"/>
      <c r="D274" s="1"/>
      <c r="E274" s="1"/>
      <c r="G274" s="2"/>
    </row>
    <row r="275" ht="27.0" customHeight="1">
      <c r="C275" s="1"/>
      <c r="D275" s="1"/>
      <c r="E275" s="1"/>
      <c r="G275" s="2"/>
    </row>
    <row r="276" ht="27.0" customHeight="1">
      <c r="C276" s="1"/>
      <c r="D276" s="1"/>
      <c r="E276" s="1"/>
      <c r="G276" s="2"/>
    </row>
    <row r="277" ht="27.0" customHeight="1">
      <c r="C277" s="1"/>
      <c r="D277" s="1"/>
      <c r="E277" s="1"/>
      <c r="G277" s="2"/>
    </row>
    <row r="278" ht="27.0" customHeight="1">
      <c r="C278" s="1"/>
      <c r="D278" s="1"/>
      <c r="E278" s="1"/>
      <c r="G278" s="2"/>
    </row>
    <row r="279" ht="27.0" customHeight="1">
      <c r="C279" s="1"/>
      <c r="D279" s="1"/>
      <c r="E279" s="1"/>
      <c r="G279" s="2"/>
    </row>
    <row r="280" ht="27.0" customHeight="1">
      <c r="C280" s="1"/>
      <c r="D280" s="1"/>
      <c r="E280" s="1"/>
      <c r="G280" s="2"/>
    </row>
    <row r="281" ht="27.0" customHeight="1">
      <c r="C281" s="1"/>
      <c r="D281" s="1"/>
      <c r="E281" s="1"/>
      <c r="G281" s="2"/>
    </row>
    <row r="282" ht="27.0" customHeight="1">
      <c r="C282" s="1"/>
      <c r="D282" s="1"/>
      <c r="E282" s="1"/>
      <c r="G282" s="2"/>
    </row>
    <row r="283" ht="27.0" customHeight="1">
      <c r="C283" s="1"/>
      <c r="D283" s="1"/>
      <c r="E283" s="1"/>
      <c r="G283" s="2"/>
    </row>
    <row r="284" ht="27.0" customHeight="1">
      <c r="C284" s="1"/>
      <c r="D284" s="1"/>
      <c r="E284" s="1"/>
      <c r="G284" s="2"/>
    </row>
    <row r="285" ht="27.0" customHeight="1">
      <c r="C285" s="1"/>
      <c r="D285" s="1"/>
      <c r="E285" s="1"/>
      <c r="G285" s="2"/>
    </row>
    <row r="286" ht="27.0" customHeight="1">
      <c r="C286" s="1"/>
      <c r="D286" s="1"/>
      <c r="E286" s="1"/>
      <c r="G286" s="2"/>
    </row>
    <row r="287" ht="27.0" customHeight="1">
      <c r="C287" s="1"/>
      <c r="D287" s="1"/>
      <c r="E287" s="1"/>
      <c r="G287" s="2"/>
    </row>
    <row r="288" ht="27.0" customHeight="1">
      <c r="C288" s="1"/>
      <c r="D288" s="1"/>
      <c r="E288" s="1"/>
      <c r="G288" s="2"/>
    </row>
    <row r="289" ht="27.0" customHeight="1">
      <c r="C289" s="1"/>
      <c r="D289" s="1"/>
      <c r="E289" s="1"/>
      <c r="G289" s="2"/>
    </row>
    <row r="290" ht="27.0" customHeight="1">
      <c r="C290" s="1"/>
      <c r="D290" s="1"/>
      <c r="E290" s="1"/>
      <c r="G290" s="2"/>
    </row>
    <row r="291" ht="27.0" customHeight="1">
      <c r="C291" s="1"/>
      <c r="D291" s="1"/>
      <c r="E291" s="1"/>
      <c r="G291" s="2"/>
    </row>
    <row r="292" ht="27.0" customHeight="1">
      <c r="C292" s="1"/>
      <c r="D292" s="1"/>
      <c r="E292" s="1"/>
      <c r="G292" s="2"/>
    </row>
    <row r="293" ht="27.0" customHeight="1">
      <c r="C293" s="1"/>
      <c r="D293" s="1"/>
      <c r="E293" s="1"/>
      <c r="G293" s="2"/>
    </row>
    <row r="294" ht="27.0" customHeight="1">
      <c r="C294" s="1"/>
      <c r="D294" s="1"/>
      <c r="E294" s="1"/>
      <c r="G294" s="2"/>
    </row>
    <row r="295" ht="27.0" customHeight="1">
      <c r="C295" s="1"/>
      <c r="D295" s="1"/>
      <c r="E295" s="1"/>
      <c r="G295" s="2"/>
    </row>
    <row r="296" ht="27.0" customHeight="1">
      <c r="C296" s="1"/>
      <c r="D296" s="1"/>
      <c r="E296" s="1"/>
      <c r="G296" s="2"/>
    </row>
    <row r="297" ht="27.0" customHeight="1">
      <c r="C297" s="1"/>
      <c r="D297" s="1"/>
      <c r="E297" s="1"/>
      <c r="G297" s="2"/>
    </row>
    <row r="298" ht="27.0" customHeight="1">
      <c r="C298" s="1"/>
      <c r="D298" s="1"/>
      <c r="E298" s="1"/>
      <c r="G298" s="2"/>
    </row>
    <row r="299" ht="27.0" customHeight="1">
      <c r="C299" s="1"/>
      <c r="D299" s="1"/>
      <c r="E299" s="1"/>
      <c r="G299" s="2"/>
    </row>
    <row r="300" ht="27.0" customHeight="1">
      <c r="C300" s="1"/>
      <c r="D300" s="1"/>
      <c r="E300" s="1"/>
      <c r="G300" s="2"/>
    </row>
    <row r="301" ht="27.0" customHeight="1">
      <c r="C301" s="1"/>
      <c r="D301" s="1"/>
      <c r="E301" s="1"/>
      <c r="G301" s="2"/>
    </row>
    <row r="302" ht="27.0" customHeight="1">
      <c r="C302" s="1"/>
      <c r="D302" s="1"/>
      <c r="E302" s="1"/>
      <c r="G302" s="2"/>
    </row>
    <row r="303" ht="27.0" customHeight="1">
      <c r="C303" s="1"/>
      <c r="D303" s="1"/>
      <c r="E303" s="1"/>
      <c r="G303" s="2"/>
    </row>
    <row r="304" ht="27.0" customHeight="1">
      <c r="C304" s="1"/>
      <c r="D304" s="1"/>
      <c r="E304" s="1"/>
      <c r="G304" s="2"/>
    </row>
    <row r="305" ht="27.0" customHeight="1">
      <c r="C305" s="1"/>
      <c r="D305" s="1"/>
      <c r="E305" s="1"/>
      <c r="G305" s="2"/>
    </row>
    <row r="306" ht="27.0" customHeight="1">
      <c r="C306" s="1"/>
      <c r="D306" s="1"/>
      <c r="E306" s="1"/>
      <c r="G306" s="2"/>
    </row>
    <row r="307" ht="27.0" customHeight="1">
      <c r="C307" s="1"/>
      <c r="D307" s="1"/>
      <c r="E307" s="1"/>
      <c r="G307" s="2"/>
    </row>
    <row r="308" ht="27.0" customHeight="1">
      <c r="C308" s="1"/>
      <c r="D308" s="1"/>
      <c r="E308" s="1"/>
      <c r="G308" s="2"/>
    </row>
    <row r="309" ht="27.0" customHeight="1">
      <c r="C309" s="1"/>
      <c r="D309" s="1"/>
      <c r="E309" s="1"/>
      <c r="G309" s="2"/>
    </row>
    <row r="310" ht="27.0" customHeight="1">
      <c r="C310" s="1"/>
      <c r="D310" s="1"/>
      <c r="E310" s="1"/>
      <c r="G310" s="2"/>
    </row>
    <row r="311" ht="27.0" customHeight="1">
      <c r="C311" s="1"/>
      <c r="D311" s="1"/>
      <c r="E311" s="1"/>
      <c r="G311" s="2"/>
    </row>
    <row r="312" ht="27.0" customHeight="1">
      <c r="C312" s="1"/>
      <c r="D312" s="1"/>
      <c r="E312" s="1"/>
      <c r="G312" s="2"/>
    </row>
    <row r="313" ht="27.0" customHeight="1">
      <c r="C313" s="1"/>
      <c r="D313" s="1"/>
      <c r="E313" s="1"/>
      <c r="G313" s="2"/>
    </row>
    <row r="314" ht="27.0" customHeight="1">
      <c r="C314" s="1"/>
      <c r="D314" s="1"/>
      <c r="E314" s="1"/>
      <c r="G314" s="2"/>
    </row>
    <row r="315" ht="27.0" customHeight="1">
      <c r="C315" s="1"/>
      <c r="D315" s="1"/>
      <c r="E315" s="1"/>
      <c r="G315" s="2"/>
    </row>
    <row r="316" ht="27.0" customHeight="1">
      <c r="C316" s="1"/>
      <c r="D316" s="1"/>
      <c r="E316" s="1"/>
      <c r="G316" s="2"/>
    </row>
    <row r="317" ht="27.0" customHeight="1">
      <c r="C317" s="1"/>
      <c r="D317" s="1"/>
      <c r="E317" s="1"/>
      <c r="G317" s="2"/>
    </row>
    <row r="318" ht="27.0" customHeight="1">
      <c r="C318" s="1"/>
      <c r="D318" s="1"/>
      <c r="E318" s="1"/>
      <c r="G318" s="2"/>
    </row>
    <row r="319" ht="27.0" customHeight="1">
      <c r="C319" s="1"/>
      <c r="D319" s="1"/>
      <c r="E319" s="1"/>
      <c r="G319" s="2"/>
    </row>
    <row r="320" ht="27.0" customHeight="1">
      <c r="C320" s="1"/>
      <c r="D320" s="1"/>
      <c r="E320" s="1"/>
      <c r="G320" s="2"/>
    </row>
    <row r="321" ht="27.0" customHeight="1">
      <c r="C321" s="1"/>
      <c r="D321" s="1"/>
      <c r="E321" s="1"/>
      <c r="G321" s="2"/>
    </row>
    <row r="322" ht="27.0" customHeight="1">
      <c r="C322" s="1"/>
      <c r="D322" s="1"/>
      <c r="E322" s="1"/>
      <c r="G322" s="2"/>
    </row>
    <row r="323" ht="27.0" customHeight="1">
      <c r="C323" s="1"/>
      <c r="D323" s="1"/>
      <c r="E323" s="1"/>
      <c r="G323" s="2"/>
    </row>
    <row r="324" ht="27.0" customHeight="1">
      <c r="C324" s="1"/>
      <c r="D324" s="1"/>
      <c r="E324" s="1"/>
      <c r="G324" s="2"/>
    </row>
    <row r="325" ht="27.0" customHeight="1">
      <c r="C325" s="1"/>
      <c r="D325" s="1"/>
      <c r="E325" s="1"/>
      <c r="G325" s="2"/>
    </row>
    <row r="326" ht="27.0" customHeight="1">
      <c r="C326" s="1"/>
      <c r="D326" s="1"/>
      <c r="E326" s="1"/>
      <c r="G326" s="2"/>
    </row>
    <row r="327" ht="27.0" customHeight="1">
      <c r="C327" s="1"/>
      <c r="D327" s="1"/>
      <c r="E327" s="1"/>
      <c r="G327" s="2"/>
    </row>
    <row r="328" ht="27.0" customHeight="1">
      <c r="C328" s="1"/>
      <c r="D328" s="1"/>
      <c r="E328" s="1"/>
      <c r="G328" s="2"/>
    </row>
    <row r="329" ht="27.0" customHeight="1">
      <c r="C329" s="1"/>
      <c r="D329" s="1"/>
      <c r="E329" s="1"/>
      <c r="G329" s="2"/>
    </row>
    <row r="330" ht="27.0" customHeight="1">
      <c r="C330" s="1"/>
      <c r="D330" s="1"/>
      <c r="E330" s="1"/>
      <c r="G330" s="2"/>
    </row>
    <row r="331" ht="27.0" customHeight="1">
      <c r="C331" s="1"/>
      <c r="D331" s="1"/>
      <c r="E331" s="1"/>
      <c r="G331" s="2"/>
    </row>
    <row r="332" ht="27.0" customHeight="1">
      <c r="C332" s="1"/>
      <c r="D332" s="1"/>
      <c r="E332" s="1"/>
      <c r="G332" s="2"/>
    </row>
    <row r="333" ht="27.0" customHeight="1">
      <c r="C333" s="1"/>
      <c r="D333" s="1"/>
      <c r="E333" s="1"/>
      <c r="G333" s="2"/>
    </row>
    <row r="334" ht="27.0" customHeight="1">
      <c r="C334" s="1"/>
      <c r="D334" s="1"/>
      <c r="E334" s="1"/>
      <c r="G334" s="2"/>
    </row>
    <row r="335" ht="27.0" customHeight="1">
      <c r="C335" s="1"/>
      <c r="D335" s="1"/>
      <c r="E335" s="1"/>
      <c r="G335" s="2"/>
    </row>
    <row r="336" ht="27.0" customHeight="1">
      <c r="C336" s="1"/>
      <c r="D336" s="1"/>
      <c r="E336" s="1"/>
      <c r="G336" s="2"/>
    </row>
    <row r="337" ht="27.0" customHeight="1">
      <c r="C337" s="1"/>
      <c r="D337" s="1"/>
      <c r="E337" s="1"/>
      <c r="G337" s="2"/>
    </row>
    <row r="338" ht="27.0" customHeight="1">
      <c r="C338" s="1"/>
      <c r="D338" s="1"/>
      <c r="E338" s="1"/>
      <c r="G338" s="2"/>
    </row>
    <row r="339" ht="27.0" customHeight="1">
      <c r="C339" s="1"/>
      <c r="D339" s="1"/>
      <c r="E339" s="1"/>
      <c r="G339" s="2"/>
    </row>
    <row r="340" ht="27.0" customHeight="1">
      <c r="C340" s="1"/>
      <c r="D340" s="1"/>
      <c r="E340" s="1"/>
      <c r="G340" s="2"/>
    </row>
    <row r="341" ht="27.0" customHeight="1">
      <c r="C341" s="1"/>
      <c r="D341" s="1"/>
      <c r="E341" s="1"/>
      <c r="G341" s="2"/>
    </row>
    <row r="342" ht="27.0" customHeight="1">
      <c r="C342" s="1"/>
      <c r="D342" s="1"/>
      <c r="E342" s="1"/>
      <c r="G342" s="2"/>
    </row>
    <row r="343" ht="27.0" customHeight="1">
      <c r="C343" s="1"/>
      <c r="D343" s="1"/>
      <c r="E343" s="1"/>
      <c r="G343" s="2"/>
    </row>
    <row r="344" ht="27.0" customHeight="1">
      <c r="C344" s="1"/>
      <c r="D344" s="1"/>
      <c r="E344" s="1"/>
      <c r="G344" s="2"/>
    </row>
    <row r="345" ht="27.0" customHeight="1">
      <c r="C345" s="1"/>
      <c r="D345" s="1"/>
      <c r="E345" s="1"/>
      <c r="G345" s="2"/>
    </row>
    <row r="346" ht="27.0" customHeight="1">
      <c r="C346" s="1"/>
      <c r="D346" s="1"/>
      <c r="E346" s="1"/>
      <c r="G346" s="2"/>
    </row>
    <row r="347" ht="27.0" customHeight="1">
      <c r="C347" s="1"/>
      <c r="D347" s="1"/>
      <c r="E347" s="1"/>
      <c r="G347" s="2"/>
    </row>
    <row r="348" ht="27.0" customHeight="1">
      <c r="C348" s="1"/>
      <c r="D348" s="1"/>
      <c r="E348" s="1"/>
      <c r="G348" s="2"/>
    </row>
    <row r="349" ht="27.0" customHeight="1">
      <c r="C349" s="1"/>
      <c r="D349" s="1"/>
      <c r="E349" s="1"/>
      <c r="G349" s="2"/>
    </row>
    <row r="350" ht="27.0" customHeight="1">
      <c r="C350" s="1"/>
      <c r="D350" s="1"/>
      <c r="E350" s="1"/>
      <c r="G350" s="2"/>
    </row>
    <row r="351" ht="27.0" customHeight="1">
      <c r="C351" s="1"/>
      <c r="D351" s="1"/>
      <c r="E351" s="1"/>
      <c r="G351" s="2"/>
    </row>
    <row r="352" ht="27.0" customHeight="1">
      <c r="C352" s="1"/>
      <c r="D352" s="1"/>
      <c r="E352" s="1"/>
      <c r="G352" s="2"/>
    </row>
    <row r="353" ht="27.0" customHeight="1">
      <c r="C353" s="1"/>
      <c r="D353" s="1"/>
      <c r="E353" s="1"/>
      <c r="G353" s="2"/>
    </row>
    <row r="354" ht="27.0" customHeight="1">
      <c r="C354" s="1"/>
      <c r="D354" s="1"/>
      <c r="E354" s="1"/>
      <c r="G354" s="2"/>
    </row>
    <row r="355" ht="27.0" customHeight="1">
      <c r="C355" s="1"/>
      <c r="D355" s="1"/>
      <c r="E355" s="1"/>
      <c r="G355" s="2"/>
    </row>
    <row r="356" ht="27.0" customHeight="1">
      <c r="C356" s="1"/>
      <c r="D356" s="1"/>
      <c r="E356" s="1"/>
      <c r="G356" s="2"/>
    </row>
    <row r="357" ht="27.0" customHeight="1">
      <c r="C357" s="1"/>
      <c r="D357" s="1"/>
      <c r="E357" s="1"/>
      <c r="G357" s="2"/>
    </row>
    <row r="358" ht="27.0" customHeight="1">
      <c r="C358" s="1"/>
      <c r="D358" s="1"/>
      <c r="E358" s="1"/>
      <c r="G358" s="2"/>
    </row>
    <row r="359" ht="27.0" customHeight="1">
      <c r="C359" s="1"/>
      <c r="D359" s="1"/>
      <c r="E359" s="1"/>
      <c r="G359" s="2"/>
    </row>
    <row r="360" ht="27.0" customHeight="1">
      <c r="C360" s="1"/>
      <c r="D360" s="1"/>
      <c r="E360" s="1"/>
      <c r="G360" s="2"/>
    </row>
    <row r="361" ht="27.0" customHeight="1">
      <c r="C361" s="1"/>
      <c r="D361" s="1"/>
      <c r="E361" s="1"/>
      <c r="G361" s="2"/>
    </row>
    <row r="362" ht="27.0" customHeight="1">
      <c r="C362" s="1"/>
      <c r="D362" s="1"/>
      <c r="E362" s="1"/>
      <c r="G362" s="2"/>
    </row>
    <row r="363" ht="27.0" customHeight="1">
      <c r="C363" s="1"/>
      <c r="D363" s="1"/>
      <c r="E363" s="1"/>
      <c r="G363" s="2"/>
    </row>
    <row r="364" ht="27.0" customHeight="1">
      <c r="C364" s="1"/>
      <c r="D364" s="1"/>
      <c r="E364" s="1"/>
      <c r="G364" s="2"/>
    </row>
    <row r="365" ht="27.0" customHeight="1">
      <c r="C365" s="1"/>
      <c r="D365" s="1"/>
      <c r="E365" s="1"/>
      <c r="G365" s="2"/>
    </row>
    <row r="366" ht="27.0" customHeight="1">
      <c r="C366" s="1"/>
      <c r="D366" s="1"/>
      <c r="E366" s="1"/>
      <c r="G366" s="2"/>
    </row>
    <row r="367" ht="27.0" customHeight="1">
      <c r="C367" s="1"/>
      <c r="D367" s="1"/>
      <c r="E367" s="1"/>
      <c r="G367" s="2"/>
    </row>
    <row r="368" ht="27.0" customHeight="1">
      <c r="C368" s="1"/>
      <c r="D368" s="1"/>
      <c r="E368" s="1"/>
      <c r="G368" s="2"/>
    </row>
    <row r="369" ht="27.0" customHeight="1">
      <c r="C369" s="1"/>
      <c r="D369" s="1"/>
      <c r="E369" s="1"/>
      <c r="G369" s="2"/>
    </row>
    <row r="370" ht="27.0" customHeight="1">
      <c r="C370" s="1"/>
      <c r="D370" s="1"/>
      <c r="E370" s="1"/>
      <c r="G370" s="2"/>
    </row>
    <row r="371" ht="27.0" customHeight="1">
      <c r="C371" s="1"/>
      <c r="D371" s="1"/>
      <c r="E371" s="1"/>
      <c r="G371" s="2"/>
    </row>
    <row r="372" ht="27.0" customHeight="1">
      <c r="C372" s="1"/>
      <c r="D372" s="1"/>
      <c r="E372" s="1"/>
      <c r="G372" s="2"/>
    </row>
    <row r="373" ht="27.0" customHeight="1">
      <c r="C373" s="1"/>
      <c r="D373" s="1"/>
      <c r="E373" s="1"/>
      <c r="G373" s="2"/>
    </row>
    <row r="374" ht="27.0" customHeight="1">
      <c r="C374" s="1"/>
      <c r="D374" s="1"/>
      <c r="E374" s="1"/>
      <c r="G374" s="2"/>
    </row>
    <row r="375" ht="27.0" customHeight="1">
      <c r="C375" s="1"/>
      <c r="D375" s="1"/>
      <c r="E375" s="1"/>
      <c r="G375" s="2"/>
    </row>
    <row r="376" ht="27.0" customHeight="1">
      <c r="C376" s="1"/>
      <c r="D376" s="1"/>
      <c r="E376" s="1"/>
      <c r="G376" s="2"/>
    </row>
    <row r="377" ht="27.0" customHeight="1">
      <c r="C377" s="1"/>
      <c r="D377" s="1"/>
      <c r="E377" s="1"/>
      <c r="G377" s="2"/>
    </row>
    <row r="378" ht="27.0" customHeight="1">
      <c r="C378" s="1"/>
      <c r="D378" s="1"/>
      <c r="E378" s="1"/>
      <c r="G378" s="2"/>
    </row>
    <row r="379" ht="27.0" customHeight="1">
      <c r="C379" s="1"/>
      <c r="D379" s="1"/>
      <c r="E379" s="1"/>
      <c r="G379" s="2"/>
    </row>
    <row r="380" ht="27.0" customHeight="1">
      <c r="C380" s="1"/>
      <c r="D380" s="1"/>
      <c r="E380" s="1"/>
      <c r="G380" s="2"/>
    </row>
    <row r="381" ht="27.0" customHeight="1">
      <c r="C381" s="1"/>
      <c r="D381" s="1"/>
      <c r="E381" s="1"/>
      <c r="G381" s="2"/>
    </row>
    <row r="382" ht="27.0" customHeight="1">
      <c r="C382" s="1"/>
      <c r="D382" s="1"/>
      <c r="E382" s="1"/>
      <c r="G382" s="2"/>
    </row>
    <row r="383" ht="27.0" customHeight="1">
      <c r="C383" s="1"/>
      <c r="D383" s="1"/>
      <c r="E383" s="1"/>
      <c r="G383" s="2"/>
    </row>
    <row r="384" ht="27.0" customHeight="1">
      <c r="C384" s="1"/>
      <c r="D384" s="1"/>
      <c r="E384" s="1"/>
      <c r="G384" s="2"/>
    </row>
    <row r="385" ht="27.0" customHeight="1">
      <c r="C385" s="1"/>
      <c r="D385" s="1"/>
      <c r="E385" s="1"/>
      <c r="G385" s="2"/>
    </row>
    <row r="386" ht="27.0" customHeight="1">
      <c r="C386" s="1"/>
      <c r="D386" s="1"/>
      <c r="E386" s="1"/>
      <c r="G386" s="2"/>
    </row>
    <row r="387" ht="27.0" customHeight="1">
      <c r="C387" s="1"/>
      <c r="D387" s="1"/>
      <c r="E387" s="1"/>
      <c r="G387" s="2"/>
    </row>
    <row r="388" ht="27.0" customHeight="1">
      <c r="C388" s="1"/>
      <c r="D388" s="1"/>
      <c r="E388" s="1"/>
      <c r="G388" s="2"/>
    </row>
    <row r="389" ht="27.0" customHeight="1">
      <c r="C389" s="1"/>
      <c r="D389" s="1"/>
      <c r="E389" s="1"/>
      <c r="G389" s="2"/>
    </row>
    <row r="390" ht="27.0" customHeight="1">
      <c r="C390" s="1"/>
      <c r="D390" s="1"/>
      <c r="E390" s="1"/>
      <c r="G390" s="2"/>
    </row>
    <row r="391" ht="27.0" customHeight="1">
      <c r="C391" s="1"/>
      <c r="D391" s="1"/>
      <c r="E391" s="1"/>
      <c r="G391" s="2"/>
    </row>
    <row r="392" ht="27.0" customHeight="1">
      <c r="C392" s="1"/>
      <c r="D392" s="1"/>
      <c r="E392" s="1"/>
      <c r="G392" s="2"/>
    </row>
    <row r="393" ht="27.0" customHeight="1">
      <c r="C393" s="1"/>
      <c r="D393" s="1"/>
      <c r="E393" s="1"/>
      <c r="G393" s="2"/>
    </row>
    <row r="394" ht="27.0" customHeight="1">
      <c r="C394" s="1"/>
      <c r="D394" s="1"/>
      <c r="E394" s="1"/>
      <c r="G394" s="2"/>
    </row>
    <row r="395" ht="27.0" customHeight="1">
      <c r="C395" s="1"/>
      <c r="D395" s="1"/>
      <c r="E395" s="1"/>
      <c r="G395" s="2"/>
    </row>
    <row r="396" ht="27.0" customHeight="1">
      <c r="C396" s="1"/>
      <c r="D396" s="1"/>
      <c r="E396" s="1"/>
      <c r="G396" s="2"/>
    </row>
    <row r="397" ht="27.0" customHeight="1">
      <c r="C397" s="1"/>
      <c r="D397" s="1"/>
      <c r="E397" s="1"/>
      <c r="G397" s="2"/>
    </row>
    <row r="398" ht="27.0" customHeight="1">
      <c r="C398" s="1"/>
      <c r="D398" s="1"/>
      <c r="E398" s="1"/>
      <c r="G398" s="2"/>
    </row>
    <row r="399" ht="27.0" customHeight="1">
      <c r="C399" s="1"/>
      <c r="D399" s="1"/>
      <c r="E399" s="1"/>
      <c r="G399" s="2"/>
    </row>
    <row r="400" ht="27.0" customHeight="1">
      <c r="C400" s="1"/>
      <c r="D400" s="1"/>
      <c r="E400" s="1"/>
      <c r="G400" s="2"/>
    </row>
    <row r="401" ht="27.0" customHeight="1">
      <c r="C401" s="1"/>
      <c r="D401" s="1"/>
      <c r="E401" s="1"/>
      <c r="G401" s="2"/>
    </row>
    <row r="402" ht="27.0" customHeight="1">
      <c r="C402" s="1"/>
      <c r="D402" s="1"/>
      <c r="E402" s="1"/>
      <c r="G402" s="2"/>
    </row>
    <row r="403" ht="27.0" customHeight="1">
      <c r="C403" s="1"/>
      <c r="D403" s="1"/>
      <c r="E403" s="1"/>
      <c r="G403" s="2"/>
    </row>
    <row r="404" ht="27.0" customHeight="1">
      <c r="C404" s="1"/>
      <c r="D404" s="1"/>
      <c r="E404" s="1"/>
      <c r="G404" s="2"/>
    </row>
    <row r="405" ht="27.0" customHeight="1">
      <c r="C405" s="1"/>
      <c r="D405" s="1"/>
      <c r="E405" s="1"/>
      <c r="G405" s="2"/>
    </row>
    <row r="406" ht="27.0" customHeight="1">
      <c r="C406" s="1"/>
      <c r="D406" s="1"/>
      <c r="E406" s="1"/>
      <c r="G406" s="2"/>
    </row>
    <row r="407" ht="27.0" customHeight="1">
      <c r="C407" s="1"/>
      <c r="D407" s="1"/>
      <c r="E407" s="1"/>
      <c r="G407" s="2"/>
    </row>
    <row r="408" ht="27.0" customHeight="1">
      <c r="C408" s="1"/>
      <c r="D408" s="1"/>
      <c r="E408" s="1"/>
      <c r="G408" s="2"/>
    </row>
    <row r="409" ht="27.0" customHeight="1">
      <c r="C409" s="1"/>
      <c r="D409" s="1"/>
      <c r="E409" s="1"/>
      <c r="G409" s="2"/>
    </row>
    <row r="410" ht="27.0" customHeight="1">
      <c r="C410" s="1"/>
      <c r="D410" s="1"/>
      <c r="E410" s="1"/>
      <c r="G410" s="2"/>
    </row>
    <row r="411" ht="27.0" customHeight="1">
      <c r="C411" s="1"/>
      <c r="D411" s="1"/>
      <c r="E411" s="1"/>
      <c r="G411" s="2"/>
    </row>
    <row r="412" ht="27.0" customHeight="1">
      <c r="C412" s="1"/>
      <c r="D412" s="1"/>
      <c r="E412" s="1"/>
      <c r="G412" s="2"/>
    </row>
    <row r="413" ht="27.0" customHeight="1">
      <c r="C413" s="1"/>
      <c r="D413" s="1"/>
      <c r="E413" s="1"/>
      <c r="G413" s="2"/>
    </row>
    <row r="414" ht="27.0" customHeight="1">
      <c r="C414" s="1"/>
      <c r="D414" s="1"/>
      <c r="E414" s="1"/>
      <c r="G414" s="2"/>
    </row>
    <row r="415" ht="27.0" customHeight="1">
      <c r="C415" s="1"/>
      <c r="D415" s="1"/>
      <c r="E415" s="1"/>
      <c r="G415" s="2"/>
    </row>
    <row r="416" ht="27.0" customHeight="1">
      <c r="C416" s="1"/>
      <c r="D416" s="1"/>
      <c r="E416" s="1"/>
      <c r="G416" s="2"/>
    </row>
    <row r="417" ht="27.0" customHeight="1">
      <c r="C417" s="1"/>
      <c r="D417" s="1"/>
      <c r="E417" s="1"/>
      <c r="G417" s="2"/>
    </row>
    <row r="418" ht="27.0" customHeight="1">
      <c r="C418" s="1"/>
      <c r="D418" s="1"/>
      <c r="E418" s="1"/>
      <c r="G418" s="2"/>
    </row>
    <row r="419" ht="27.0" customHeight="1">
      <c r="C419" s="1"/>
      <c r="D419" s="1"/>
      <c r="E419" s="1"/>
      <c r="G419" s="2"/>
    </row>
    <row r="420" ht="27.0" customHeight="1">
      <c r="C420" s="1"/>
      <c r="D420" s="1"/>
      <c r="E420" s="1"/>
      <c r="G420" s="2"/>
    </row>
    <row r="421" ht="27.0" customHeight="1">
      <c r="C421" s="1"/>
      <c r="D421" s="1"/>
      <c r="E421" s="1"/>
      <c r="G421" s="2"/>
    </row>
    <row r="422" ht="27.0" customHeight="1">
      <c r="C422" s="1"/>
      <c r="D422" s="1"/>
      <c r="E422" s="1"/>
      <c r="G422" s="2"/>
    </row>
    <row r="423" ht="27.0" customHeight="1">
      <c r="C423" s="1"/>
      <c r="D423" s="1"/>
      <c r="E423" s="1"/>
      <c r="G423" s="2"/>
    </row>
    <row r="424" ht="27.0" customHeight="1">
      <c r="C424" s="1"/>
      <c r="D424" s="1"/>
      <c r="E424" s="1"/>
      <c r="G424" s="2"/>
    </row>
    <row r="425" ht="27.0" customHeight="1">
      <c r="C425" s="1"/>
      <c r="D425" s="1"/>
      <c r="E425" s="1"/>
      <c r="G425" s="2"/>
    </row>
    <row r="426" ht="27.0" customHeight="1">
      <c r="C426" s="1"/>
      <c r="D426" s="1"/>
      <c r="E426" s="1"/>
      <c r="G426" s="2"/>
    </row>
    <row r="427" ht="27.0" customHeight="1">
      <c r="C427" s="1"/>
      <c r="D427" s="1"/>
      <c r="E427" s="1"/>
      <c r="G427" s="2"/>
    </row>
    <row r="428" ht="27.0" customHeight="1">
      <c r="C428" s="1"/>
      <c r="D428" s="1"/>
      <c r="E428" s="1"/>
      <c r="G428" s="2"/>
    </row>
    <row r="429" ht="27.0" customHeight="1">
      <c r="C429" s="1"/>
      <c r="D429" s="1"/>
      <c r="E429" s="1"/>
      <c r="G429" s="2"/>
    </row>
    <row r="430" ht="27.0" customHeight="1">
      <c r="C430" s="1"/>
      <c r="D430" s="1"/>
      <c r="E430" s="1"/>
      <c r="G430" s="2"/>
    </row>
    <row r="431" ht="27.0" customHeight="1">
      <c r="C431" s="1"/>
      <c r="D431" s="1"/>
      <c r="E431" s="1"/>
      <c r="G431" s="2"/>
    </row>
    <row r="432" ht="27.0" customHeight="1">
      <c r="C432" s="1"/>
      <c r="D432" s="1"/>
      <c r="E432" s="1"/>
      <c r="G432" s="2"/>
    </row>
    <row r="433" ht="27.0" customHeight="1">
      <c r="C433" s="1"/>
      <c r="D433" s="1"/>
      <c r="E433" s="1"/>
      <c r="G433" s="2"/>
    </row>
    <row r="434" ht="27.0" customHeight="1">
      <c r="C434" s="1"/>
      <c r="D434" s="1"/>
      <c r="E434" s="1"/>
      <c r="G434" s="2"/>
    </row>
    <row r="435" ht="27.0" customHeight="1">
      <c r="C435" s="1"/>
      <c r="D435" s="1"/>
      <c r="E435" s="1"/>
      <c r="G435" s="2"/>
    </row>
    <row r="436" ht="27.0" customHeight="1">
      <c r="C436" s="1"/>
      <c r="D436" s="1"/>
      <c r="E436" s="1"/>
      <c r="G436" s="2"/>
    </row>
    <row r="437" ht="27.0" customHeight="1">
      <c r="C437" s="1"/>
      <c r="D437" s="1"/>
      <c r="E437" s="1"/>
      <c r="G437" s="2"/>
    </row>
    <row r="438" ht="27.0" customHeight="1">
      <c r="C438" s="1"/>
      <c r="D438" s="1"/>
      <c r="E438" s="1"/>
      <c r="G438" s="2"/>
    </row>
    <row r="439" ht="27.0" customHeight="1">
      <c r="C439" s="1"/>
      <c r="D439" s="1"/>
      <c r="E439" s="1"/>
      <c r="G439" s="2"/>
    </row>
    <row r="440" ht="27.0" customHeight="1">
      <c r="C440" s="1"/>
      <c r="D440" s="1"/>
      <c r="E440" s="1"/>
      <c r="G440" s="2"/>
    </row>
    <row r="441" ht="27.0" customHeight="1">
      <c r="C441" s="1"/>
      <c r="D441" s="1"/>
      <c r="E441" s="1"/>
      <c r="G441" s="2"/>
    </row>
    <row r="442" ht="27.0" customHeight="1">
      <c r="C442" s="1"/>
      <c r="D442" s="1"/>
      <c r="E442" s="1"/>
      <c r="G442" s="2"/>
    </row>
    <row r="443" ht="27.0" customHeight="1">
      <c r="C443" s="1"/>
      <c r="D443" s="1"/>
      <c r="E443" s="1"/>
      <c r="G443" s="2"/>
    </row>
    <row r="444" ht="27.0" customHeight="1">
      <c r="C444" s="1"/>
      <c r="D444" s="1"/>
      <c r="E444" s="1"/>
      <c r="G444" s="2"/>
    </row>
    <row r="445" ht="27.0" customHeight="1">
      <c r="C445" s="1"/>
      <c r="D445" s="1"/>
      <c r="E445" s="1"/>
      <c r="G445" s="2"/>
    </row>
    <row r="446" ht="27.0" customHeight="1">
      <c r="C446" s="1"/>
      <c r="D446" s="1"/>
      <c r="E446" s="1"/>
      <c r="G446" s="2"/>
    </row>
    <row r="447" ht="27.0" customHeight="1">
      <c r="C447" s="1"/>
      <c r="D447" s="1"/>
      <c r="E447" s="1"/>
      <c r="G447" s="2"/>
    </row>
    <row r="448" ht="27.0" customHeight="1">
      <c r="C448" s="1"/>
      <c r="D448" s="1"/>
      <c r="E448" s="1"/>
      <c r="G448" s="2"/>
    </row>
    <row r="449" ht="27.0" customHeight="1">
      <c r="C449" s="1"/>
      <c r="D449" s="1"/>
      <c r="E449" s="1"/>
      <c r="G449" s="2"/>
    </row>
    <row r="450" ht="27.0" customHeight="1">
      <c r="C450" s="1"/>
      <c r="D450" s="1"/>
      <c r="E450" s="1"/>
      <c r="G450" s="2"/>
    </row>
    <row r="451" ht="27.0" customHeight="1">
      <c r="C451" s="1"/>
      <c r="D451" s="1"/>
      <c r="E451" s="1"/>
      <c r="G451" s="2"/>
    </row>
    <row r="452" ht="27.0" customHeight="1">
      <c r="C452" s="1"/>
      <c r="D452" s="1"/>
      <c r="E452" s="1"/>
      <c r="G452" s="2"/>
    </row>
    <row r="453" ht="27.0" customHeight="1">
      <c r="C453" s="1"/>
      <c r="D453" s="1"/>
      <c r="E453" s="1"/>
      <c r="G453" s="2"/>
    </row>
    <row r="454" ht="27.0" customHeight="1">
      <c r="C454" s="1"/>
      <c r="D454" s="1"/>
      <c r="E454" s="1"/>
      <c r="G454" s="2"/>
    </row>
    <row r="455" ht="27.0" customHeight="1">
      <c r="C455" s="1"/>
      <c r="D455" s="1"/>
      <c r="E455" s="1"/>
      <c r="G455" s="2"/>
    </row>
    <row r="456" ht="27.0" customHeight="1">
      <c r="C456" s="1"/>
      <c r="D456" s="1"/>
      <c r="E456" s="1"/>
      <c r="G456" s="2"/>
    </row>
    <row r="457" ht="27.0" customHeight="1">
      <c r="C457" s="1"/>
      <c r="D457" s="1"/>
      <c r="E457" s="1"/>
      <c r="G457" s="2"/>
    </row>
    <row r="458" ht="27.0" customHeight="1">
      <c r="C458" s="1"/>
      <c r="D458" s="1"/>
      <c r="E458" s="1"/>
      <c r="G458" s="2"/>
    </row>
    <row r="459" ht="27.0" customHeight="1">
      <c r="C459" s="1"/>
      <c r="D459" s="1"/>
      <c r="E459" s="1"/>
      <c r="G459" s="2"/>
    </row>
    <row r="460" ht="27.0" customHeight="1">
      <c r="C460" s="1"/>
      <c r="D460" s="1"/>
      <c r="E460" s="1"/>
      <c r="G460" s="2"/>
    </row>
    <row r="461" ht="27.0" customHeight="1">
      <c r="C461" s="1"/>
      <c r="D461" s="1"/>
      <c r="E461" s="1"/>
      <c r="G461" s="2"/>
    </row>
    <row r="462" ht="27.0" customHeight="1">
      <c r="C462" s="1"/>
      <c r="D462" s="1"/>
      <c r="E462" s="1"/>
      <c r="G462" s="2"/>
    </row>
    <row r="463" ht="27.0" customHeight="1">
      <c r="C463" s="1"/>
      <c r="D463" s="1"/>
      <c r="E463" s="1"/>
      <c r="G463" s="2"/>
    </row>
    <row r="464" ht="27.0" customHeight="1">
      <c r="C464" s="1"/>
      <c r="D464" s="1"/>
      <c r="E464" s="1"/>
      <c r="G464" s="2"/>
    </row>
    <row r="465" ht="27.0" customHeight="1">
      <c r="C465" s="1"/>
      <c r="D465" s="1"/>
      <c r="E465" s="1"/>
      <c r="G465" s="2"/>
    </row>
    <row r="466" ht="27.0" customHeight="1">
      <c r="C466" s="1"/>
      <c r="D466" s="1"/>
      <c r="E466" s="1"/>
      <c r="G466" s="2"/>
    </row>
    <row r="467" ht="27.0" customHeight="1">
      <c r="C467" s="1"/>
      <c r="D467" s="1"/>
      <c r="E467" s="1"/>
      <c r="G467" s="2"/>
    </row>
    <row r="468" ht="27.0" customHeight="1">
      <c r="C468" s="1"/>
      <c r="D468" s="1"/>
      <c r="E468" s="1"/>
      <c r="G468" s="2"/>
    </row>
    <row r="469" ht="27.0" customHeight="1">
      <c r="C469" s="1"/>
      <c r="D469" s="1"/>
      <c r="E469" s="1"/>
      <c r="G469" s="2"/>
    </row>
    <row r="470" ht="27.0" customHeight="1">
      <c r="C470" s="1"/>
      <c r="D470" s="1"/>
      <c r="E470" s="1"/>
      <c r="G470" s="2"/>
    </row>
    <row r="471" ht="27.0" customHeight="1">
      <c r="C471" s="1"/>
      <c r="D471" s="1"/>
      <c r="E471" s="1"/>
      <c r="G471" s="2"/>
    </row>
    <row r="472" ht="27.0" customHeight="1">
      <c r="C472" s="1"/>
      <c r="D472" s="1"/>
      <c r="E472" s="1"/>
      <c r="G472" s="2"/>
    </row>
    <row r="473" ht="27.0" customHeight="1">
      <c r="C473" s="1"/>
      <c r="D473" s="1"/>
      <c r="E473" s="1"/>
      <c r="G473" s="2"/>
    </row>
    <row r="474" ht="27.0" customHeight="1">
      <c r="C474" s="1"/>
      <c r="D474" s="1"/>
      <c r="E474" s="1"/>
      <c r="G474" s="2"/>
    </row>
    <row r="475" ht="27.0" customHeight="1">
      <c r="C475" s="1"/>
      <c r="D475" s="1"/>
      <c r="E475" s="1"/>
      <c r="G475" s="2"/>
    </row>
    <row r="476" ht="27.0" customHeight="1">
      <c r="C476" s="1"/>
      <c r="D476" s="1"/>
      <c r="E476" s="1"/>
      <c r="G476" s="2"/>
    </row>
    <row r="477" ht="27.0" customHeight="1">
      <c r="C477" s="1"/>
      <c r="D477" s="1"/>
      <c r="E477" s="1"/>
      <c r="G477" s="2"/>
    </row>
    <row r="478" ht="27.0" customHeight="1">
      <c r="C478" s="1"/>
      <c r="D478" s="1"/>
      <c r="E478" s="1"/>
      <c r="G478" s="2"/>
    </row>
    <row r="479" ht="27.0" customHeight="1">
      <c r="C479" s="1"/>
      <c r="D479" s="1"/>
      <c r="E479" s="1"/>
      <c r="G479" s="2"/>
    </row>
    <row r="480" ht="27.0" customHeight="1">
      <c r="C480" s="1"/>
      <c r="D480" s="1"/>
      <c r="E480" s="1"/>
      <c r="G480" s="2"/>
    </row>
    <row r="481" ht="27.0" customHeight="1">
      <c r="C481" s="1"/>
      <c r="D481" s="1"/>
      <c r="E481" s="1"/>
      <c r="G481" s="2"/>
    </row>
    <row r="482" ht="27.0" customHeight="1">
      <c r="C482" s="1"/>
      <c r="D482" s="1"/>
      <c r="E482" s="1"/>
      <c r="G482" s="2"/>
    </row>
    <row r="483" ht="27.0" customHeight="1">
      <c r="C483" s="1"/>
      <c r="D483" s="1"/>
      <c r="E483" s="1"/>
      <c r="G483" s="2"/>
    </row>
    <row r="484" ht="27.0" customHeight="1">
      <c r="C484" s="1"/>
      <c r="D484" s="1"/>
      <c r="E484" s="1"/>
      <c r="G484" s="2"/>
    </row>
    <row r="485" ht="27.0" customHeight="1">
      <c r="C485" s="1"/>
      <c r="D485" s="1"/>
      <c r="E485" s="1"/>
      <c r="G485" s="2"/>
    </row>
    <row r="486" ht="27.0" customHeight="1">
      <c r="C486" s="1"/>
      <c r="D486" s="1"/>
      <c r="E486" s="1"/>
      <c r="G486" s="2"/>
    </row>
    <row r="487" ht="27.0" customHeight="1">
      <c r="C487" s="1"/>
      <c r="D487" s="1"/>
      <c r="E487" s="1"/>
      <c r="G487" s="2"/>
    </row>
    <row r="488" ht="27.0" customHeight="1">
      <c r="C488" s="1"/>
      <c r="D488" s="1"/>
      <c r="E488" s="1"/>
      <c r="G488" s="2"/>
    </row>
    <row r="489" ht="27.0" customHeight="1">
      <c r="C489" s="1"/>
      <c r="D489" s="1"/>
      <c r="E489" s="1"/>
      <c r="G489" s="2"/>
    </row>
    <row r="490" ht="27.0" customHeight="1">
      <c r="C490" s="1"/>
      <c r="D490" s="1"/>
      <c r="E490" s="1"/>
      <c r="G490" s="2"/>
    </row>
    <row r="491" ht="27.0" customHeight="1">
      <c r="C491" s="1"/>
      <c r="D491" s="1"/>
      <c r="E491" s="1"/>
      <c r="G491" s="2"/>
    </row>
    <row r="492" ht="27.0" customHeight="1">
      <c r="C492" s="1"/>
      <c r="D492" s="1"/>
      <c r="E492" s="1"/>
      <c r="G492" s="2"/>
    </row>
    <row r="493" ht="27.0" customHeight="1">
      <c r="C493" s="1"/>
      <c r="D493" s="1"/>
      <c r="E493" s="1"/>
      <c r="G493" s="2"/>
    </row>
    <row r="494" ht="27.0" customHeight="1">
      <c r="C494" s="1"/>
      <c r="D494" s="1"/>
      <c r="E494" s="1"/>
      <c r="G494" s="2"/>
    </row>
    <row r="495" ht="27.0" customHeight="1">
      <c r="C495" s="1"/>
      <c r="D495" s="1"/>
      <c r="E495" s="1"/>
      <c r="G495" s="2"/>
    </row>
    <row r="496" ht="27.0" customHeight="1">
      <c r="C496" s="1"/>
      <c r="D496" s="1"/>
      <c r="E496" s="1"/>
      <c r="G496" s="2"/>
    </row>
    <row r="497" ht="27.0" customHeight="1">
      <c r="C497" s="1"/>
      <c r="D497" s="1"/>
      <c r="E497" s="1"/>
      <c r="G497" s="2"/>
    </row>
    <row r="498" ht="27.0" customHeight="1">
      <c r="C498" s="1"/>
      <c r="D498" s="1"/>
      <c r="E498" s="1"/>
      <c r="G498" s="2"/>
    </row>
    <row r="499" ht="27.0" customHeight="1">
      <c r="C499" s="1"/>
      <c r="D499" s="1"/>
      <c r="E499" s="1"/>
      <c r="G499" s="2"/>
    </row>
    <row r="500" ht="27.0" customHeight="1">
      <c r="C500" s="1"/>
      <c r="D500" s="1"/>
      <c r="E500" s="1"/>
      <c r="G500" s="2"/>
    </row>
    <row r="501" ht="27.0" customHeight="1">
      <c r="C501" s="1"/>
      <c r="D501" s="1"/>
      <c r="E501" s="1"/>
      <c r="G501" s="2"/>
    </row>
    <row r="502" ht="27.0" customHeight="1">
      <c r="C502" s="1"/>
      <c r="D502" s="1"/>
      <c r="E502" s="1"/>
      <c r="G502" s="2"/>
    </row>
    <row r="503" ht="27.0" customHeight="1">
      <c r="C503" s="1"/>
      <c r="D503" s="1"/>
      <c r="E503" s="1"/>
      <c r="G503" s="2"/>
    </row>
    <row r="504" ht="27.0" customHeight="1">
      <c r="C504" s="1"/>
      <c r="D504" s="1"/>
      <c r="E504" s="1"/>
      <c r="G504" s="2"/>
    </row>
    <row r="505" ht="27.0" customHeight="1">
      <c r="C505" s="1"/>
      <c r="D505" s="1"/>
      <c r="E505" s="1"/>
      <c r="G505" s="2"/>
    </row>
    <row r="506" ht="27.0" customHeight="1">
      <c r="C506" s="1"/>
      <c r="D506" s="1"/>
      <c r="E506" s="1"/>
      <c r="G506" s="2"/>
    </row>
    <row r="507" ht="27.0" customHeight="1">
      <c r="C507" s="1"/>
      <c r="D507" s="1"/>
      <c r="E507" s="1"/>
      <c r="G507" s="2"/>
    </row>
    <row r="508" ht="27.0" customHeight="1">
      <c r="C508" s="1"/>
      <c r="D508" s="1"/>
      <c r="E508" s="1"/>
      <c r="G508" s="2"/>
    </row>
    <row r="509" ht="27.0" customHeight="1">
      <c r="C509" s="1"/>
      <c r="D509" s="1"/>
      <c r="E509" s="1"/>
      <c r="G509" s="2"/>
    </row>
    <row r="510" ht="27.0" customHeight="1">
      <c r="C510" s="1"/>
      <c r="D510" s="1"/>
      <c r="E510" s="1"/>
      <c r="G510" s="2"/>
    </row>
    <row r="511" ht="27.0" customHeight="1">
      <c r="C511" s="1"/>
      <c r="D511" s="1"/>
      <c r="E511" s="1"/>
      <c r="G511" s="2"/>
    </row>
    <row r="512" ht="27.0" customHeight="1">
      <c r="C512" s="1"/>
      <c r="D512" s="1"/>
      <c r="E512" s="1"/>
      <c r="G512" s="2"/>
    </row>
    <row r="513" ht="27.0" customHeight="1">
      <c r="C513" s="1"/>
      <c r="D513" s="1"/>
      <c r="E513" s="1"/>
      <c r="G513" s="2"/>
    </row>
    <row r="514" ht="27.0" customHeight="1">
      <c r="C514" s="1"/>
      <c r="D514" s="1"/>
      <c r="E514" s="1"/>
      <c r="G514" s="2"/>
    </row>
    <row r="515" ht="27.0" customHeight="1">
      <c r="C515" s="1"/>
      <c r="D515" s="1"/>
      <c r="E515" s="1"/>
      <c r="G515" s="2"/>
    </row>
    <row r="516" ht="27.0" customHeight="1">
      <c r="C516" s="1"/>
      <c r="D516" s="1"/>
      <c r="E516" s="1"/>
      <c r="G516" s="2"/>
    </row>
    <row r="517" ht="27.0" customHeight="1">
      <c r="C517" s="1"/>
      <c r="D517" s="1"/>
      <c r="E517" s="1"/>
      <c r="G517" s="2"/>
    </row>
    <row r="518" ht="27.0" customHeight="1">
      <c r="C518" s="1"/>
      <c r="D518" s="1"/>
      <c r="E518" s="1"/>
      <c r="G518" s="2"/>
    </row>
    <row r="519" ht="27.0" customHeight="1">
      <c r="C519" s="1"/>
      <c r="D519" s="1"/>
      <c r="E519" s="1"/>
      <c r="G519" s="2"/>
    </row>
    <row r="520" ht="27.0" customHeight="1">
      <c r="C520" s="1"/>
      <c r="D520" s="1"/>
      <c r="E520" s="1"/>
      <c r="G520" s="2"/>
    </row>
    <row r="521" ht="27.0" customHeight="1">
      <c r="C521" s="1"/>
      <c r="D521" s="1"/>
      <c r="E521" s="1"/>
      <c r="G521" s="2"/>
    </row>
    <row r="522" ht="27.0" customHeight="1">
      <c r="C522" s="1"/>
      <c r="D522" s="1"/>
      <c r="E522" s="1"/>
      <c r="G522" s="2"/>
    </row>
    <row r="523" ht="27.0" customHeight="1">
      <c r="C523" s="1"/>
      <c r="D523" s="1"/>
      <c r="E523" s="1"/>
      <c r="G523" s="2"/>
    </row>
    <row r="524" ht="27.0" customHeight="1">
      <c r="C524" s="1"/>
      <c r="D524" s="1"/>
      <c r="E524" s="1"/>
      <c r="G524" s="2"/>
    </row>
    <row r="525" ht="27.0" customHeight="1">
      <c r="C525" s="1"/>
      <c r="D525" s="1"/>
      <c r="E525" s="1"/>
      <c r="G525" s="2"/>
    </row>
    <row r="526" ht="27.0" customHeight="1">
      <c r="C526" s="1"/>
      <c r="D526" s="1"/>
      <c r="E526" s="1"/>
      <c r="G526" s="2"/>
    </row>
    <row r="527" ht="27.0" customHeight="1">
      <c r="C527" s="1"/>
      <c r="D527" s="1"/>
      <c r="E527" s="1"/>
      <c r="G527" s="2"/>
    </row>
    <row r="528" ht="27.0" customHeight="1">
      <c r="C528" s="1"/>
      <c r="D528" s="1"/>
      <c r="E528" s="1"/>
      <c r="G528" s="2"/>
    </row>
    <row r="529" ht="27.0" customHeight="1">
      <c r="C529" s="1"/>
      <c r="D529" s="1"/>
      <c r="E529" s="1"/>
      <c r="G529" s="2"/>
    </row>
    <row r="530" ht="27.0" customHeight="1">
      <c r="C530" s="1"/>
      <c r="D530" s="1"/>
      <c r="E530" s="1"/>
      <c r="G530" s="2"/>
    </row>
    <row r="531" ht="27.0" customHeight="1">
      <c r="C531" s="1"/>
      <c r="D531" s="1"/>
      <c r="E531" s="1"/>
      <c r="G531" s="2"/>
    </row>
    <row r="532" ht="27.0" customHeight="1">
      <c r="C532" s="1"/>
      <c r="D532" s="1"/>
      <c r="E532" s="1"/>
      <c r="G532" s="2"/>
    </row>
    <row r="533" ht="27.0" customHeight="1">
      <c r="C533" s="1"/>
      <c r="D533" s="1"/>
      <c r="E533" s="1"/>
      <c r="G533" s="2"/>
    </row>
    <row r="534" ht="27.0" customHeight="1">
      <c r="C534" s="1"/>
      <c r="D534" s="1"/>
      <c r="E534" s="1"/>
      <c r="G534" s="2"/>
    </row>
    <row r="535" ht="27.0" customHeight="1">
      <c r="C535" s="1"/>
      <c r="D535" s="1"/>
      <c r="E535" s="1"/>
      <c r="G535" s="2"/>
    </row>
    <row r="536" ht="27.0" customHeight="1">
      <c r="C536" s="1"/>
      <c r="D536" s="1"/>
      <c r="E536" s="1"/>
      <c r="G536" s="2"/>
    </row>
    <row r="537" ht="27.0" customHeight="1">
      <c r="C537" s="1"/>
      <c r="D537" s="1"/>
      <c r="E537" s="1"/>
      <c r="G537" s="2"/>
    </row>
    <row r="538" ht="27.0" customHeight="1">
      <c r="C538" s="1"/>
      <c r="D538" s="1"/>
      <c r="E538" s="1"/>
      <c r="G538" s="2"/>
    </row>
    <row r="539" ht="27.0" customHeight="1">
      <c r="C539" s="1"/>
      <c r="D539" s="1"/>
      <c r="E539" s="1"/>
      <c r="G539" s="2"/>
    </row>
    <row r="540" ht="27.0" customHeight="1">
      <c r="C540" s="1"/>
      <c r="D540" s="1"/>
      <c r="E540" s="1"/>
      <c r="G540" s="2"/>
    </row>
    <row r="541" ht="27.0" customHeight="1">
      <c r="C541" s="1"/>
      <c r="D541" s="1"/>
      <c r="E541" s="1"/>
      <c r="G541" s="2"/>
    </row>
    <row r="542" ht="27.0" customHeight="1">
      <c r="C542" s="1"/>
      <c r="D542" s="1"/>
      <c r="E542" s="1"/>
      <c r="G542" s="2"/>
    </row>
    <row r="543" ht="27.0" customHeight="1">
      <c r="C543" s="1"/>
      <c r="D543" s="1"/>
      <c r="E543" s="1"/>
      <c r="G543" s="2"/>
    </row>
    <row r="544" ht="27.0" customHeight="1">
      <c r="C544" s="1"/>
      <c r="D544" s="1"/>
      <c r="E544" s="1"/>
      <c r="G544" s="2"/>
    </row>
    <row r="545" ht="27.0" customHeight="1">
      <c r="C545" s="1"/>
      <c r="D545" s="1"/>
      <c r="E545" s="1"/>
      <c r="G545" s="2"/>
    </row>
    <row r="546" ht="27.0" customHeight="1">
      <c r="C546" s="1"/>
      <c r="D546" s="1"/>
      <c r="E546" s="1"/>
      <c r="G546" s="2"/>
    </row>
    <row r="547" ht="27.0" customHeight="1">
      <c r="C547" s="1"/>
      <c r="D547" s="1"/>
      <c r="E547" s="1"/>
      <c r="G547" s="2"/>
    </row>
    <row r="548" ht="27.0" customHeight="1">
      <c r="C548" s="1"/>
      <c r="D548" s="1"/>
      <c r="E548" s="1"/>
      <c r="G548" s="2"/>
    </row>
    <row r="549" ht="27.0" customHeight="1">
      <c r="C549" s="1"/>
      <c r="D549" s="1"/>
      <c r="E549" s="1"/>
      <c r="G549" s="2"/>
    </row>
    <row r="550" ht="27.0" customHeight="1">
      <c r="C550" s="1"/>
      <c r="D550" s="1"/>
      <c r="E550" s="1"/>
      <c r="G550" s="2"/>
    </row>
    <row r="551" ht="27.0" customHeight="1">
      <c r="C551" s="1"/>
      <c r="D551" s="1"/>
      <c r="E551" s="1"/>
      <c r="G551" s="2"/>
    </row>
    <row r="552" ht="27.0" customHeight="1">
      <c r="C552" s="1"/>
      <c r="D552" s="1"/>
      <c r="E552" s="1"/>
      <c r="G552" s="2"/>
    </row>
    <row r="553" ht="27.0" customHeight="1">
      <c r="C553" s="1"/>
      <c r="D553" s="1"/>
      <c r="E553" s="1"/>
      <c r="G553" s="2"/>
    </row>
    <row r="554" ht="27.0" customHeight="1">
      <c r="C554" s="1"/>
      <c r="D554" s="1"/>
      <c r="E554" s="1"/>
      <c r="G554" s="2"/>
    </row>
    <row r="555" ht="27.0" customHeight="1">
      <c r="C555" s="1"/>
      <c r="D555" s="1"/>
      <c r="E555" s="1"/>
      <c r="G555" s="2"/>
    </row>
    <row r="556" ht="27.0" customHeight="1">
      <c r="C556" s="1"/>
      <c r="D556" s="1"/>
      <c r="E556" s="1"/>
      <c r="G556" s="2"/>
    </row>
    <row r="557" ht="27.0" customHeight="1">
      <c r="C557" s="1"/>
      <c r="D557" s="1"/>
      <c r="E557" s="1"/>
      <c r="G557" s="2"/>
    </row>
    <row r="558" ht="27.0" customHeight="1">
      <c r="C558" s="1"/>
      <c r="D558" s="1"/>
      <c r="E558" s="1"/>
      <c r="G558" s="2"/>
    </row>
    <row r="559" ht="27.0" customHeight="1">
      <c r="C559" s="1"/>
      <c r="D559" s="1"/>
      <c r="E559" s="1"/>
      <c r="G559" s="2"/>
    </row>
    <row r="560" ht="27.0" customHeight="1">
      <c r="C560" s="1"/>
      <c r="D560" s="1"/>
      <c r="E560" s="1"/>
      <c r="G560" s="2"/>
    </row>
    <row r="561" ht="27.0" customHeight="1">
      <c r="C561" s="1"/>
      <c r="D561" s="1"/>
      <c r="E561" s="1"/>
      <c r="G561" s="2"/>
    </row>
    <row r="562" ht="27.0" customHeight="1">
      <c r="C562" s="1"/>
      <c r="D562" s="1"/>
      <c r="E562" s="1"/>
      <c r="G562" s="2"/>
    </row>
    <row r="563" ht="27.0" customHeight="1">
      <c r="C563" s="1"/>
      <c r="D563" s="1"/>
      <c r="E563" s="1"/>
      <c r="G563" s="2"/>
    </row>
    <row r="564" ht="27.0" customHeight="1">
      <c r="C564" s="1"/>
      <c r="D564" s="1"/>
      <c r="E564" s="1"/>
      <c r="G564" s="2"/>
    </row>
    <row r="565" ht="27.0" customHeight="1">
      <c r="C565" s="1"/>
      <c r="D565" s="1"/>
      <c r="E565" s="1"/>
      <c r="G565" s="2"/>
    </row>
    <row r="566" ht="27.0" customHeight="1">
      <c r="C566" s="1"/>
      <c r="D566" s="1"/>
      <c r="E566" s="1"/>
      <c r="G566" s="2"/>
    </row>
    <row r="567" ht="27.0" customHeight="1">
      <c r="C567" s="1"/>
      <c r="D567" s="1"/>
      <c r="E567" s="1"/>
      <c r="G567" s="2"/>
    </row>
    <row r="568" ht="27.0" customHeight="1">
      <c r="C568" s="1"/>
      <c r="D568" s="1"/>
      <c r="E568" s="1"/>
      <c r="G568" s="2"/>
    </row>
    <row r="569" ht="27.0" customHeight="1">
      <c r="C569" s="1"/>
      <c r="D569" s="1"/>
      <c r="E569" s="1"/>
      <c r="G569" s="2"/>
    </row>
    <row r="570" ht="27.0" customHeight="1">
      <c r="C570" s="1"/>
      <c r="D570" s="1"/>
      <c r="E570" s="1"/>
      <c r="G570" s="2"/>
    </row>
    <row r="571" ht="27.0" customHeight="1">
      <c r="C571" s="1"/>
      <c r="D571" s="1"/>
      <c r="E571" s="1"/>
      <c r="G571" s="2"/>
    </row>
    <row r="572" ht="27.0" customHeight="1">
      <c r="C572" s="1"/>
      <c r="D572" s="1"/>
      <c r="E572" s="1"/>
      <c r="G572" s="2"/>
    </row>
    <row r="573" ht="27.0" customHeight="1">
      <c r="C573" s="1"/>
      <c r="D573" s="1"/>
      <c r="E573" s="1"/>
      <c r="G573" s="2"/>
    </row>
    <row r="574" ht="27.0" customHeight="1">
      <c r="C574" s="1"/>
      <c r="D574" s="1"/>
      <c r="E574" s="1"/>
      <c r="G574" s="2"/>
    </row>
    <row r="575" ht="27.0" customHeight="1">
      <c r="C575" s="1"/>
      <c r="D575" s="1"/>
      <c r="E575" s="1"/>
      <c r="G575" s="2"/>
    </row>
    <row r="576" ht="27.0" customHeight="1">
      <c r="C576" s="1"/>
      <c r="D576" s="1"/>
      <c r="E576" s="1"/>
      <c r="G576" s="2"/>
    </row>
    <row r="577" ht="27.0" customHeight="1">
      <c r="C577" s="1"/>
      <c r="D577" s="1"/>
      <c r="E577" s="1"/>
      <c r="G577" s="2"/>
    </row>
    <row r="578" ht="27.0" customHeight="1">
      <c r="C578" s="1"/>
      <c r="D578" s="1"/>
      <c r="E578" s="1"/>
      <c r="G578" s="2"/>
    </row>
    <row r="579" ht="27.0" customHeight="1">
      <c r="C579" s="1"/>
      <c r="D579" s="1"/>
      <c r="E579" s="1"/>
      <c r="G579" s="2"/>
    </row>
    <row r="580" ht="27.0" customHeight="1">
      <c r="C580" s="1"/>
      <c r="D580" s="1"/>
      <c r="E580" s="1"/>
      <c r="G580" s="2"/>
    </row>
    <row r="581" ht="27.0" customHeight="1">
      <c r="C581" s="1"/>
      <c r="D581" s="1"/>
      <c r="E581" s="1"/>
      <c r="G581" s="2"/>
    </row>
    <row r="582" ht="27.0" customHeight="1">
      <c r="C582" s="1"/>
      <c r="D582" s="1"/>
      <c r="E582" s="1"/>
      <c r="G582" s="2"/>
    </row>
    <row r="583" ht="27.0" customHeight="1">
      <c r="C583" s="1"/>
      <c r="D583" s="1"/>
      <c r="E583" s="1"/>
      <c r="G583" s="2"/>
    </row>
    <row r="584" ht="27.0" customHeight="1">
      <c r="C584" s="1"/>
      <c r="D584" s="1"/>
      <c r="E584" s="1"/>
      <c r="G584" s="2"/>
    </row>
    <row r="585" ht="27.0" customHeight="1">
      <c r="C585" s="1"/>
      <c r="D585" s="1"/>
      <c r="E585" s="1"/>
      <c r="G585" s="2"/>
    </row>
    <row r="586" ht="27.0" customHeight="1">
      <c r="C586" s="1"/>
      <c r="D586" s="1"/>
      <c r="E586" s="1"/>
      <c r="G586" s="2"/>
    </row>
    <row r="587" ht="27.0" customHeight="1">
      <c r="C587" s="1"/>
      <c r="D587" s="1"/>
      <c r="E587" s="1"/>
      <c r="G587" s="2"/>
    </row>
    <row r="588" ht="27.0" customHeight="1">
      <c r="C588" s="1"/>
      <c r="D588" s="1"/>
      <c r="E588" s="1"/>
      <c r="G588" s="2"/>
    </row>
    <row r="589" ht="27.0" customHeight="1">
      <c r="C589" s="1"/>
      <c r="D589" s="1"/>
      <c r="E589" s="1"/>
      <c r="G589" s="2"/>
    </row>
    <row r="590" ht="27.0" customHeight="1">
      <c r="C590" s="1"/>
      <c r="D590" s="1"/>
      <c r="E590" s="1"/>
      <c r="G590" s="2"/>
    </row>
    <row r="591" ht="27.0" customHeight="1">
      <c r="C591" s="1"/>
      <c r="D591" s="1"/>
      <c r="E591" s="1"/>
      <c r="G591" s="2"/>
    </row>
    <row r="592" ht="27.0" customHeight="1">
      <c r="C592" s="1"/>
      <c r="D592" s="1"/>
      <c r="E592" s="1"/>
      <c r="G592" s="2"/>
    </row>
    <row r="593" ht="27.0" customHeight="1">
      <c r="C593" s="1"/>
      <c r="D593" s="1"/>
      <c r="E593" s="1"/>
      <c r="G593" s="2"/>
    </row>
    <row r="594" ht="27.0" customHeight="1">
      <c r="C594" s="1"/>
      <c r="D594" s="1"/>
      <c r="E594" s="1"/>
      <c r="G594" s="2"/>
    </row>
    <row r="595" ht="27.0" customHeight="1">
      <c r="C595" s="1"/>
      <c r="D595" s="1"/>
      <c r="E595" s="1"/>
      <c r="G595" s="2"/>
    </row>
    <row r="596" ht="27.0" customHeight="1">
      <c r="C596" s="1"/>
      <c r="D596" s="1"/>
      <c r="E596" s="1"/>
      <c r="G596" s="2"/>
    </row>
    <row r="597" ht="27.0" customHeight="1">
      <c r="C597" s="1"/>
      <c r="D597" s="1"/>
      <c r="E597" s="1"/>
      <c r="G597" s="2"/>
    </row>
    <row r="598" ht="27.0" customHeight="1">
      <c r="C598" s="1"/>
      <c r="D598" s="1"/>
      <c r="E598" s="1"/>
      <c r="G598" s="2"/>
    </row>
    <row r="599" ht="27.0" customHeight="1">
      <c r="C599" s="1"/>
      <c r="D599" s="1"/>
      <c r="E599" s="1"/>
      <c r="G599" s="2"/>
    </row>
    <row r="600" ht="27.0" customHeight="1">
      <c r="C600" s="1"/>
      <c r="D600" s="1"/>
      <c r="E600" s="1"/>
      <c r="G600" s="2"/>
    </row>
    <row r="601" ht="27.0" customHeight="1">
      <c r="C601" s="1"/>
      <c r="D601" s="1"/>
      <c r="E601" s="1"/>
      <c r="G601" s="2"/>
    </row>
    <row r="602" ht="27.0" customHeight="1">
      <c r="C602" s="1"/>
      <c r="D602" s="1"/>
      <c r="E602" s="1"/>
      <c r="G602" s="2"/>
    </row>
    <row r="603" ht="27.0" customHeight="1">
      <c r="C603" s="1"/>
      <c r="D603" s="1"/>
      <c r="E603" s="1"/>
      <c r="G603" s="2"/>
    </row>
    <row r="604" ht="27.0" customHeight="1">
      <c r="C604" s="1"/>
      <c r="D604" s="1"/>
      <c r="E604" s="1"/>
      <c r="G604" s="2"/>
    </row>
    <row r="605" ht="27.0" customHeight="1">
      <c r="C605" s="1"/>
      <c r="D605" s="1"/>
      <c r="E605" s="1"/>
      <c r="G605" s="2"/>
    </row>
    <row r="606" ht="27.0" customHeight="1">
      <c r="C606" s="1"/>
      <c r="D606" s="1"/>
      <c r="E606" s="1"/>
      <c r="G606" s="2"/>
    </row>
    <row r="607" ht="27.0" customHeight="1">
      <c r="C607" s="1"/>
      <c r="D607" s="1"/>
      <c r="E607" s="1"/>
      <c r="G607" s="2"/>
    </row>
    <row r="608" ht="27.0" customHeight="1">
      <c r="C608" s="1"/>
      <c r="D608" s="1"/>
      <c r="E608" s="1"/>
      <c r="G608" s="2"/>
    </row>
    <row r="609" ht="27.0" customHeight="1">
      <c r="C609" s="1"/>
      <c r="D609" s="1"/>
      <c r="E609" s="1"/>
      <c r="G609" s="2"/>
    </row>
    <row r="610" ht="27.0" customHeight="1">
      <c r="C610" s="1"/>
      <c r="D610" s="1"/>
      <c r="E610" s="1"/>
      <c r="G610" s="2"/>
    </row>
    <row r="611" ht="27.0" customHeight="1">
      <c r="C611" s="1"/>
      <c r="D611" s="1"/>
      <c r="E611" s="1"/>
      <c r="G611" s="2"/>
    </row>
    <row r="612" ht="27.0" customHeight="1">
      <c r="C612" s="1"/>
      <c r="D612" s="1"/>
      <c r="E612" s="1"/>
      <c r="G612" s="2"/>
    </row>
    <row r="613" ht="27.0" customHeight="1">
      <c r="C613" s="1"/>
      <c r="D613" s="1"/>
      <c r="E613" s="1"/>
      <c r="G613" s="2"/>
    </row>
    <row r="614" ht="27.0" customHeight="1">
      <c r="C614" s="1"/>
      <c r="D614" s="1"/>
      <c r="E614" s="1"/>
      <c r="G614" s="2"/>
    </row>
    <row r="615" ht="27.0" customHeight="1">
      <c r="C615" s="1"/>
      <c r="D615" s="1"/>
      <c r="E615" s="1"/>
      <c r="G615" s="2"/>
    </row>
    <row r="616" ht="27.0" customHeight="1">
      <c r="C616" s="1"/>
      <c r="D616" s="1"/>
      <c r="E616" s="1"/>
      <c r="G616" s="2"/>
    </row>
    <row r="617" ht="27.0" customHeight="1">
      <c r="C617" s="1"/>
      <c r="D617" s="1"/>
      <c r="E617" s="1"/>
      <c r="G617" s="2"/>
    </row>
    <row r="618" ht="27.0" customHeight="1">
      <c r="C618" s="1"/>
      <c r="D618" s="1"/>
      <c r="E618" s="1"/>
      <c r="G618" s="2"/>
    </row>
    <row r="619" ht="27.0" customHeight="1">
      <c r="C619" s="1"/>
      <c r="D619" s="1"/>
      <c r="E619" s="1"/>
      <c r="G619" s="2"/>
    </row>
    <row r="620" ht="27.0" customHeight="1">
      <c r="C620" s="1"/>
      <c r="D620" s="1"/>
      <c r="E620" s="1"/>
      <c r="G620" s="2"/>
    </row>
    <row r="621" ht="27.0" customHeight="1">
      <c r="C621" s="1"/>
      <c r="D621" s="1"/>
      <c r="E621" s="1"/>
      <c r="G621" s="2"/>
    </row>
    <row r="622" ht="27.0" customHeight="1">
      <c r="C622" s="1"/>
      <c r="D622" s="1"/>
      <c r="E622" s="1"/>
      <c r="G622" s="2"/>
    </row>
    <row r="623" ht="27.0" customHeight="1">
      <c r="C623" s="1"/>
      <c r="D623" s="1"/>
      <c r="E623" s="1"/>
      <c r="G623" s="2"/>
    </row>
    <row r="624" ht="27.0" customHeight="1">
      <c r="C624" s="1"/>
      <c r="D624" s="1"/>
      <c r="E624" s="1"/>
      <c r="G624" s="2"/>
    </row>
    <row r="625" ht="27.0" customHeight="1">
      <c r="C625" s="1"/>
      <c r="D625" s="1"/>
      <c r="E625" s="1"/>
      <c r="G625" s="2"/>
    </row>
    <row r="626" ht="27.0" customHeight="1">
      <c r="C626" s="1"/>
      <c r="D626" s="1"/>
      <c r="E626" s="1"/>
      <c r="G626" s="2"/>
    </row>
    <row r="627" ht="27.0" customHeight="1">
      <c r="C627" s="1"/>
      <c r="D627" s="1"/>
      <c r="E627" s="1"/>
      <c r="G627" s="2"/>
    </row>
    <row r="628" ht="27.0" customHeight="1">
      <c r="C628" s="1"/>
      <c r="D628" s="1"/>
      <c r="E628" s="1"/>
      <c r="G628" s="2"/>
    </row>
    <row r="629" ht="27.0" customHeight="1">
      <c r="C629" s="1"/>
      <c r="D629" s="1"/>
      <c r="E629" s="1"/>
      <c r="G629" s="2"/>
    </row>
    <row r="630" ht="27.0" customHeight="1">
      <c r="C630" s="1"/>
      <c r="D630" s="1"/>
      <c r="E630" s="1"/>
      <c r="G630" s="2"/>
    </row>
    <row r="631" ht="27.0" customHeight="1">
      <c r="C631" s="1"/>
      <c r="D631" s="1"/>
      <c r="E631" s="1"/>
      <c r="G631" s="2"/>
    </row>
    <row r="632" ht="27.0" customHeight="1">
      <c r="C632" s="1"/>
      <c r="D632" s="1"/>
      <c r="E632" s="1"/>
      <c r="G632" s="2"/>
    </row>
    <row r="633" ht="27.0" customHeight="1">
      <c r="C633" s="1"/>
      <c r="D633" s="1"/>
      <c r="E633" s="1"/>
      <c r="G633" s="2"/>
    </row>
    <row r="634" ht="27.0" customHeight="1">
      <c r="C634" s="1"/>
      <c r="D634" s="1"/>
      <c r="E634" s="1"/>
      <c r="G634" s="2"/>
    </row>
    <row r="635" ht="27.0" customHeight="1">
      <c r="C635" s="1"/>
      <c r="D635" s="1"/>
      <c r="E635" s="1"/>
      <c r="G635" s="2"/>
    </row>
    <row r="636" ht="27.0" customHeight="1">
      <c r="C636" s="1"/>
      <c r="D636" s="1"/>
      <c r="E636" s="1"/>
      <c r="G636" s="2"/>
    </row>
    <row r="637" ht="27.0" customHeight="1">
      <c r="C637" s="1"/>
      <c r="D637" s="1"/>
      <c r="E637" s="1"/>
      <c r="G637" s="2"/>
    </row>
    <row r="638" ht="27.0" customHeight="1">
      <c r="C638" s="1"/>
      <c r="D638" s="1"/>
      <c r="E638" s="1"/>
      <c r="G638" s="2"/>
    </row>
    <row r="639" ht="27.0" customHeight="1">
      <c r="C639" s="1"/>
      <c r="D639" s="1"/>
      <c r="E639" s="1"/>
      <c r="G639" s="2"/>
    </row>
    <row r="640" ht="27.0" customHeight="1">
      <c r="C640" s="1"/>
      <c r="D640" s="1"/>
      <c r="E640" s="1"/>
      <c r="G640" s="2"/>
    </row>
    <row r="641" ht="27.0" customHeight="1">
      <c r="C641" s="1"/>
      <c r="D641" s="1"/>
      <c r="E641" s="1"/>
      <c r="G641" s="2"/>
    </row>
    <row r="642" ht="27.0" customHeight="1">
      <c r="C642" s="1"/>
      <c r="D642" s="1"/>
      <c r="E642" s="1"/>
      <c r="G642" s="2"/>
    </row>
    <row r="643" ht="27.0" customHeight="1">
      <c r="C643" s="1"/>
      <c r="D643" s="1"/>
      <c r="E643" s="1"/>
      <c r="G643" s="2"/>
    </row>
    <row r="644" ht="27.0" customHeight="1">
      <c r="C644" s="1"/>
      <c r="D644" s="1"/>
      <c r="E644" s="1"/>
      <c r="G644" s="2"/>
    </row>
    <row r="645" ht="27.0" customHeight="1">
      <c r="C645" s="1"/>
      <c r="D645" s="1"/>
      <c r="E645" s="1"/>
      <c r="G645" s="2"/>
    </row>
    <row r="646" ht="27.0" customHeight="1">
      <c r="C646" s="1"/>
      <c r="D646" s="1"/>
      <c r="E646" s="1"/>
      <c r="G646" s="2"/>
    </row>
    <row r="647" ht="27.0" customHeight="1">
      <c r="C647" s="1"/>
      <c r="D647" s="1"/>
      <c r="E647" s="1"/>
      <c r="G647" s="2"/>
    </row>
    <row r="648" ht="27.0" customHeight="1">
      <c r="C648" s="1"/>
      <c r="D648" s="1"/>
      <c r="E648" s="1"/>
      <c r="G648" s="2"/>
    </row>
    <row r="649" ht="27.0" customHeight="1">
      <c r="C649" s="1"/>
      <c r="D649" s="1"/>
      <c r="E649" s="1"/>
      <c r="G649" s="2"/>
    </row>
    <row r="650" ht="27.0" customHeight="1">
      <c r="C650" s="1"/>
      <c r="D650" s="1"/>
      <c r="E650" s="1"/>
      <c r="G650" s="2"/>
    </row>
    <row r="651" ht="27.0" customHeight="1">
      <c r="C651" s="1"/>
      <c r="D651" s="1"/>
      <c r="E651" s="1"/>
      <c r="G651" s="2"/>
    </row>
    <row r="652" ht="27.0" customHeight="1">
      <c r="C652" s="1"/>
      <c r="D652" s="1"/>
      <c r="E652" s="1"/>
      <c r="G652" s="2"/>
    </row>
    <row r="653" ht="27.0" customHeight="1">
      <c r="C653" s="1"/>
      <c r="D653" s="1"/>
      <c r="E653" s="1"/>
      <c r="G653" s="2"/>
    </row>
    <row r="654" ht="27.0" customHeight="1">
      <c r="C654" s="1"/>
      <c r="D654" s="1"/>
      <c r="E654" s="1"/>
      <c r="G654" s="2"/>
    </row>
    <row r="655" ht="27.0" customHeight="1">
      <c r="C655" s="1"/>
      <c r="D655" s="1"/>
      <c r="E655" s="1"/>
      <c r="G655" s="2"/>
    </row>
    <row r="656" ht="27.0" customHeight="1">
      <c r="C656" s="1"/>
      <c r="D656" s="1"/>
      <c r="E656" s="1"/>
      <c r="G656" s="2"/>
    </row>
    <row r="657" ht="27.0" customHeight="1">
      <c r="C657" s="1"/>
      <c r="D657" s="1"/>
      <c r="E657" s="1"/>
      <c r="G657" s="2"/>
    </row>
    <row r="658" ht="27.0" customHeight="1">
      <c r="C658" s="1"/>
      <c r="D658" s="1"/>
      <c r="E658" s="1"/>
      <c r="G658" s="2"/>
    </row>
    <row r="659" ht="27.0" customHeight="1">
      <c r="C659" s="1"/>
      <c r="D659" s="1"/>
      <c r="E659" s="1"/>
      <c r="G659" s="2"/>
    </row>
    <row r="660" ht="27.0" customHeight="1">
      <c r="C660" s="1"/>
      <c r="D660" s="1"/>
      <c r="E660" s="1"/>
      <c r="G660" s="2"/>
    </row>
    <row r="661" ht="27.0" customHeight="1">
      <c r="C661" s="1"/>
      <c r="D661" s="1"/>
      <c r="E661" s="1"/>
      <c r="G661" s="2"/>
    </row>
    <row r="662" ht="27.0" customHeight="1">
      <c r="C662" s="1"/>
      <c r="D662" s="1"/>
      <c r="E662" s="1"/>
      <c r="G662" s="2"/>
    </row>
    <row r="663" ht="27.0" customHeight="1">
      <c r="C663" s="1"/>
      <c r="D663" s="1"/>
      <c r="E663" s="1"/>
      <c r="G663" s="2"/>
    </row>
    <row r="664" ht="27.0" customHeight="1">
      <c r="C664" s="1"/>
      <c r="D664" s="1"/>
      <c r="E664" s="1"/>
      <c r="G664" s="2"/>
    </row>
    <row r="665" ht="27.0" customHeight="1">
      <c r="C665" s="1"/>
      <c r="D665" s="1"/>
      <c r="E665" s="1"/>
      <c r="G665" s="2"/>
    </row>
    <row r="666" ht="27.0" customHeight="1">
      <c r="C666" s="1"/>
      <c r="D666" s="1"/>
      <c r="E666" s="1"/>
      <c r="G666" s="2"/>
    </row>
    <row r="667" ht="27.0" customHeight="1">
      <c r="C667" s="1"/>
      <c r="D667" s="1"/>
      <c r="E667" s="1"/>
      <c r="G667" s="2"/>
    </row>
    <row r="668" ht="27.0" customHeight="1">
      <c r="C668" s="1"/>
      <c r="D668" s="1"/>
      <c r="E668" s="1"/>
      <c r="G668" s="2"/>
    </row>
    <row r="669" ht="27.0" customHeight="1">
      <c r="C669" s="1"/>
      <c r="D669" s="1"/>
      <c r="E669" s="1"/>
      <c r="G669" s="2"/>
    </row>
    <row r="670" ht="27.0" customHeight="1">
      <c r="C670" s="1"/>
      <c r="D670" s="1"/>
      <c r="E670" s="1"/>
      <c r="G670" s="2"/>
    </row>
    <row r="671" ht="27.0" customHeight="1">
      <c r="C671" s="1"/>
      <c r="D671" s="1"/>
      <c r="E671" s="1"/>
      <c r="G671" s="2"/>
    </row>
    <row r="672" ht="27.0" customHeight="1">
      <c r="C672" s="1"/>
      <c r="D672" s="1"/>
      <c r="E672" s="1"/>
      <c r="G672" s="2"/>
    </row>
    <row r="673" ht="27.0" customHeight="1">
      <c r="C673" s="1"/>
      <c r="D673" s="1"/>
      <c r="E673" s="1"/>
      <c r="G673" s="2"/>
    </row>
    <row r="674" ht="27.0" customHeight="1">
      <c r="C674" s="1"/>
      <c r="D674" s="1"/>
      <c r="E674" s="1"/>
      <c r="G674" s="2"/>
    </row>
    <row r="675" ht="27.0" customHeight="1">
      <c r="C675" s="1"/>
      <c r="D675" s="1"/>
      <c r="E675" s="1"/>
      <c r="G675" s="2"/>
    </row>
    <row r="676" ht="27.0" customHeight="1">
      <c r="C676" s="1"/>
      <c r="D676" s="1"/>
      <c r="E676" s="1"/>
      <c r="G676" s="2"/>
    </row>
    <row r="677" ht="27.0" customHeight="1">
      <c r="C677" s="1"/>
      <c r="D677" s="1"/>
      <c r="E677" s="1"/>
      <c r="G677" s="2"/>
    </row>
    <row r="678" ht="27.0" customHeight="1">
      <c r="C678" s="1"/>
      <c r="D678" s="1"/>
      <c r="E678" s="1"/>
      <c r="G678" s="2"/>
    </row>
    <row r="679" ht="27.0" customHeight="1">
      <c r="C679" s="1"/>
      <c r="D679" s="1"/>
      <c r="E679" s="1"/>
      <c r="G679" s="2"/>
    </row>
    <row r="680" ht="27.0" customHeight="1">
      <c r="C680" s="1"/>
      <c r="D680" s="1"/>
      <c r="E680" s="1"/>
      <c r="G680" s="2"/>
    </row>
    <row r="681" ht="27.0" customHeight="1">
      <c r="C681" s="1"/>
      <c r="D681" s="1"/>
      <c r="E681" s="1"/>
      <c r="G681" s="2"/>
    </row>
    <row r="682" ht="27.0" customHeight="1">
      <c r="C682" s="1"/>
      <c r="D682" s="1"/>
      <c r="E682" s="1"/>
      <c r="G682" s="2"/>
    </row>
    <row r="683" ht="27.0" customHeight="1">
      <c r="C683" s="1"/>
      <c r="D683" s="1"/>
      <c r="E683" s="1"/>
      <c r="G683" s="2"/>
    </row>
    <row r="684" ht="27.0" customHeight="1">
      <c r="C684" s="1"/>
      <c r="D684" s="1"/>
      <c r="E684" s="1"/>
      <c r="G684" s="2"/>
    </row>
    <row r="685" ht="27.0" customHeight="1">
      <c r="C685" s="1"/>
      <c r="D685" s="1"/>
      <c r="E685" s="1"/>
      <c r="G685" s="2"/>
    </row>
    <row r="686" ht="27.0" customHeight="1">
      <c r="C686" s="1"/>
      <c r="D686" s="1"/>
      <c r="E686" s="1"/>
      <c r="G686" s="2"/>
    </row>
    <row r="687" ht="27.0" customHeight="1">
      <c r="C687" s="1"/>
      <c r="D687" s="1"/>
      <c r="E687" s="1"/>
      <c r="G687" s="2"/>
    </row>
    <row r="688" ht="27.0" customHeight="1">
      <c r="C688" s="1"/>
      <c r="D688" s="1"/>
      <c r="E688" s="1"/>
      <c r="G688" s="2"/>
    </row>
    <row r="689" ht="27.0" customHeight="1">
      <c r="C689" s="1"/>
      <c r="D689" s="1"/>
      <c r="E689" s="1"/>
      <c r="G689" s="2"/>
    </row>
    <row r="690" ht="27.0" customHeight="1">
      <c r="C690" s="1"/>
      <c r="D690" s="1"/>
      <c r="E690" s="1"/>
      <c r="G690" s="2"/>
    </row>
    <row r="691" ht="27.0" customHeight="1">
      <c r="C691" s="1"/>
      <c r="D691" s="1"/>
      <c r="E691" s="1"/>
      <c r="G691" s="2"/>
    </row>
    <row r="692" ht="27.0" customHeight="1">
      <c r="C692" s="1"/>
      <c r="D692" s="1"/>
      <c r="E692" s="1"/>
      <c r="G692" s="2"/>
    </row>
    <row r="693" ht="27.0" customHeight="1">
      <c r="C693" s="1"/>
      <c r="D693" s="1"/>
      <c r="E693" s="1"/>
      <c r="G693" s="2"/>
    </row>
    <row r="694" ht="27.0" customHeight="1">
      <c r="C694" s="1"/>
      <c r="D694" s="1"/>
      <c r="E694" s="1"/>
      <c r="G694" s="2"/>
    </row>
    <row r="695" ht="27.0" customHeight="1">
      <c r="C695" s="1"/>
      <c r="D695" s="1"/>
      <c r="E695" s="1"/>
      <c r="G695" s="2"/>
    </row>
    <row r="696" ht="27.0" customHeight="1">
      <c r="C696" s="1"/>
      <c r="D696" s="1"/>
      <c r="E696" s="1"/>
      <c r="G696" s="2"/>
    </row>
    <row r="697" ht="27.0" customHeight="1">
      <c r="C697" s="1"/>
      <c r="D697" s="1"/>
      <c r="E697" s="1"/>
      <c r="G697" s="2"/>
    </row>
    <row r="698" ht="27.0" customHeight="1">
      <c r="C698" s="1"/>
      <c r="D698" s="1"/>
      <c r="E698" s="1"/>
      <c r="G698" s="2"/>
    </row>
    <row r="699" ht="27.0" customHeight="1">
      <c r="C699" s="1"/>
      <c r="D699" s="1"/>
      <c r="E699" s="1"/>
      <c r="G699" s="2"/>
    </row>
    <row r="700" ht="27.0" customHeight="1">
      <c r="C700" s="1"/>
      <c r="D700" s="1"/>
      <c r="E700" s="1"/>
      <c r="G700" s="2"/>
    </row>
    <row r="701" ht="27.0" customHeight="1">
      <c r="C701" s="1"/>
      <c r="D701" s="1"/>
      <c r="E701" s="1"/>
      <c r="G701" s="2"/>
    </row>
    <row r="702" ht="27.0" customHeight="1">
      <c r="C702" s="1"/>
      <c r="D702" s="1"/>
      <c r="E702" s="1"/>
      <c r="G702" s="2"/>
    </row>
    <row r="703" ht="27.0" customHeight="1">
      <c r="C703" s="1"/>
      <c r="D703" s="1"/>
      <c r="E703" s="1"/>
      <c r="G703" s="2"/>
    </row>
    <row r="704" ht="27.0" customHeight="1">
      <c r="C704" s="1"/>
      <c r="D704" s="1"/>
      <c r="E704" s="1"/>
      <c r="G704" s="2"/>
    </row>
    <row r="705" ht="27.0" customHeight="1">
      <c r="C705" s="1"/>
      <c r="D705" s="1"/>
      <c r="E705" s="1"/>
      <c r="G705" s="2"/>
    </row>
    <row r="706" ht="27.0" customHeight="1">
      <c r="C706" s="1"/>
      <c r="D706" s="1"/>
      <c r="E706" s="1"/>
      <c r="G706" s="2"/>
    </row>
    <row r="707" ht="27.0" customHeight="1">
      <c r="C707" s="1"/>
      <c r="D707" s="1"/>
      <c r="E707" s="1"/>
      <c r="G707" s="2"/>
    </row>
    <row r="708" ht="27.0" customHeight="1">
      <c r="C708" s="1"/>
      <c r="D708" s="1"/>
      <c r="E708" s="1"/>
      <c r="G708" s="2"/>
    </row>
    <row r="709" ht="27.0" customHeight="1">
      <c r="C709" s="1"/>
      <c r="D709" s="1"/>
      <c r="E709" s="1"/>
      <c r="G709" s="2"/>
    </row>
    <row r="710" ht="27.0" customHeight="1">
      <c r="C710" s="1"/>
      <c r="D710" s="1"/>
      <c r="E710" s="1"/>
      <c r="G710" s="2"/>
    </row>
    <row r="711" ht="27.0" customHeight="1">
      <c r="C711" s="1"/>
      <c r="D711" s="1"/>
      <c r="E711" s="1"/>
      <c r="G711" s="2"/>
    </row>
    <row r="712" ht="27.0" customHeight="1">
      <c r="C712" s="1"/>
      <c r="D712" s="1"/>
      <c r="E712" s="1"/>
      <c r="G712" s="2"/>
    </row>
    <row r="713" ht="27.0" customHeight="1">
      <c r="C713" s="1"/>
      <c r="D713" s="1"/>
      <c r="E713" s="1"/>
      <c r="G713" s="2"/>
    </row>
    <row r="714" ht="27.0" customHeight="1">
      <c r="C714" s="1"/>
      <c r="D714" s="1"/>
      <c r="E714" s="1"/>
      <c r="G714" s="2"/>
    </row>
    <row r="715" ht="27.0" customHeight="1">
      <c r="C715" s="1"/>
      <c r="D715" s="1"/>
      <c r="E715" s="1"/>
      <c r="G715" s="2"/>
    </row>
    <row r="716" ht="27.0" customHeight="1">
      <c r="C716" s="1"/>
      <c r="D716" s="1"/>
      <c r="E716" s="1"/>
      <c r="G716" s="2"/>
    </row>
    <row r="717" ht="27.0" customHeight="1">
      <c r="C717" s="1"/>
      <c r="D717" s="1"/>
      <c r="E717" s="1"/>
      <c r="G717" s="2"/>
    </row>
    <row r="718" ht="27.0" customHeight="1">
      <c r="C718" s="1"/>
      <c r="D718" s="1"/>
      <c r="E718" s="1"/>
      <c r="G718" s="2"/>
    </row>
    <row r="719" ht="27.0" customHeight="1">
      <c r="C719" s="1"/>
      <c r="D719" s="1"/>
      <c r="E719" s="1"/>
      <c r="G719" s="2"/>
    </row>
    <row r="720" ht="27.0" customHeight="1">
      <c r="C720" s="1"/>
      <c r="D720" s="1"/>
      <c r="E720" s="1"/>
      <c r="G720" s="2"/>
    </row>
    <row r="721" ht="27.0" customHeight="1">
      <c r="C721" s="1"/>
      <c r="D721" s="1"/>
      <c r="E721" s="1"/>
      <c r="G721" s="2"/>
    </row>
    <row r="722" ht="27.0" customHeight="1">
      <c r="C722" s="1"/>
      <c r="D722" s="1"/>
      <c r="E722" s="1"/>
      <c r="G722" s="2"/>
    </row>
    <row r="723" ht="27.0" customHeight="1">
      <c r="C723" s="1"/>
      <c r="D723" s="1"/>
      <c r="E723" s="1"/>
      <c r="G723" s="2"/>
    </row>
    <row r="724" ht="27.0" customHeight="1">
      <c r="C724" s="1"/>
      <c r="D724" s="1"/>
      <c r="E724" s="1"/>
      <c r="G724" s="2"/>
    </row>
    <row r="725" ht="27.0" customHeight="1">
      <c r="C725" s="1"/>
      <c r="D725" s="1"/>
      <c r="E725" s="1"/>
      <c r="G725" s="2"/>
    </row>
    <row r="726" ht="27.0" customHeight="1">
      <c r="C726" s="1"/>
      <c r="D726" s="1"/>
      <c r="E726" s="1"/>
      <c r="G726" s="2"/>
    </row>
    <row r="727" ht="27.0" customHeight="1">
      <c r="C727" s="1"/>
      <c r="D727" s="1"/>
      <c r="E727" s="1"/>
      <c r="G727" s="2"/>
    </row>
    <row r="728" ht="27.0" customHeight="1">
      <c r="C728" s="1"/>
      <c r="D728" s="1"/>
      <c r="E728" s="1"/>
      <c r="G728" s="2"/>
    </row>
    <row r="729" ht="27.0" customHeight="1">
      <c r="C729" s="1"/>
      <c r="D729" s="1"/>
      <c r="E729" s="1"/>
      <c r="G729" s="2"/>
    </row>
    <row r="730" ht="27.0" customHeight="1">
      <c r="C730" s="1"/>
      <c r="D730" s="1"/>
      <c r="E730" s="1"/>
      <c r="G730" s="2"/>
    </row>
    <row r="731" ht="27.0" customHeight="1">
      <c r="C731" s="1"/>
      <c r="D731" s="1"/>
      <c r="E731" s="1"/>
      <c r="G731" s="2"/>
    </row>
    <row r="732" ht="27.0" customHeight="1">
      <c r="C732" s="1"/>
      <c r="D732" s="1"/>
      <c r="E732" s="1"/>
      <c r="G732" s="2"/>
    </row>
    <row r="733" ht="27.0" customHeight="1">
      <c r="C733" s="1"/>
      <c r="D733" s="1"/>
      <c r="E733" s="1"/>
      <c r="G733" s="2"/>
    </row>
    <row r="734" ht="27.0" customHeight="1">
      <c r="C734" s="1"/>
      <c r="D734" s="1"/>
      <c r="E734" s="1"/>
      <c r="G734" s="2"/>
    </row>
    <row r="735" ht="27.0" customHeight="1">
      <c r="C735" s="1"/>
      <c r="D735" s="1"/>
      <c r="E735" s="1"/>
      <c r="G735" s="2"/>
    </row>
    <row r="736" ht="27.0" customHeight="1">
      <c r="C736" s="1"/>
      <c r="D736" s="1"/>
      <c r="E736" s="1"/>
      <c r="G736" s="2"/>
    </row>
    <row r="737" ht="27.0" customHeight="1">
      <c r="C737" s="1"/>
      <c r="D737" s="1"/>
      <c r="E737" s="1"/>
      <c r="G737" s="2"/>
    </row>
    <row r="738" ht="27.0" customHeight="1">
      <c r="C738" s="1"/>
      <c r="D738" s="1"/>
      <c r="E738" s="1"/>
      <c r="G738" s="2"/>
    </row>
    <row r="739" ht="27.0" customHeight="1">
      <c r="C739" s="1"/>
      <c r="D739" s="1"/>
      <c r="E739" s="1"/>
      <c r="G739" s="2"/>
    </row>
    <row r="740" ht="27.0" customHeight="1">
      <c r="C740" s="1"/>
      <c r="D740" s="1"/>
      <c r="E740" s="1"/>
      <c r="G740" s="2"/>
    </row>
    <row r="741" ht="27.0" customHeight="1">
      <c r="C741" s="1"/>
      <c r="D741" s="1"/>
      <c r="E741" s="1"/>
      <c r="G741" s="2"/>
    </row>
    <row r="742" ht="27.0" customHeight="1">
      <c r="C742" s="1"/>
      <c r="D742" s="1"/>
      <c r="E742" s="1"/>
      <c r="G742" s="2"/>
    </row>
    <row r="743" ht="27.0" customHeight="1">
      <c r="C743" s="1"/>
      <c r="D743" s="1"/>
      <c r="E743" s="1"/>
      <c r="G743" s="2"/>
    </row>
    <row r="744" ht="27.0" customHeight="1">
      <c r="C744" s="1"/>
      <c r="D744" s="1"/>
      <c r="E744" s="1"/>
      <c r="G744" s="2"/>
    </row>
    <row r="745" ht="27.0" customHeight="1">
      <c r="C745" s="1"/>
      <c r="D745" s="1"/>
      <c r="E745" s="1"/>
      <c r="G745" s="2"/>
    </row>
    <row r="746" ht="27.0" customHeight="1">
      <c r="C746" s="1"/>
      <c r="D746" s="1"/>
      <c r="E746" s="1"/>
      <c r="G746" s="2"/>
    </row>
    <row r="747" ht="27.0" customHeight="1">
      <c r="C747" s="1"/>
      <c r="D747" s="1"/>
      <c r="E747" s="1"/>
      <c r="G747" s="2"/>
    </row>
    <row r="748" ht="27.0" customHeight="1">
      <c r="C748" s="1"/>
      <c r="D748" s="1"/>
      <c r="E748" s="1"/>
      <c r="G748" s="2"/>
    </row>
    <row r="749" ht="27.0" customHeight="1">
      <c r="C749" s="1"/>
      <c r="D749" s="1"/>
      <c r="E749" s="1"/>
      <c r="G749" s="2"/>
    </row>
    <row r="750" ht="27.0" customHeight="1">
      <c r="C750" s="1"/>
      <c r="D750" s="1"/>
      <c r="E750" s="1"/>
      <c r="G750" s="2"/>
    </row>
    <row r="751" ht="27.0" customHeight="1">
      <c r="C751" s="1"/>
      <c r="D751" s="1"/>
      <c r="E751" s="1"/>
      <c r="G751" s="2"/>
    </row>
    <row r="752" ht="27.0" customHeight="1">
      <c r="C752" s="1"/>
      <c r="D752" s="1"/>
      <c r="E752" s="1"/>
      <c r="G752" s="2"/>
    </row>
    <row r="753" ht="27.0" customHeight="1">
      <c r="C753" s="1"/>
      <c r="D753" s="1"/>
      <c r="E753" s="1"/>
      <c r="G753" s="2"/>
    </row>
    <row r="754" ht="27.0" customHeight="1">
      <c r="C754" s="1"/>
      <c r="D754" s="1"/>
      <c r="E754" s="1"/>
      <c r="G754" s="2"/>
    </row>
    <row r="755" ht="27.0" customHeight="1">
      <c r="C755" s="1"/>
      <c r="D755" s="1"/>
      <c r="E755" s="1"/>
      <c r="G755" s="2"/>
    </row>
    <row r="756" ht="27.0" customHeight="1">
      <c r="C756" s="1"/>
      <c r="D756" s="1"/>
      <c r="E756" s="1"/>
      <c r="G756" s="2"/>
    </row>
    <row r="757" ht="27.0" customHeight="1">
      <c r="C757" s="1"/>
      <c r="D757" s="1"/>
      <c r="E757" s="1"/>
      <c r="G757" s="2"/>
    </row>
    <row r="758" ht="27.0" customHeight="1">
      <c r="C758" s="1"/>
      <c r="D758" s="1"/>
      <c r="E758" s="1"/>
      <c r="G758" s="2"/>
    </row>
    <row r="759" ht="27.0" customHeight="1">
      <c r="C759" s="1"/>
      <c r="D759" s="1"/>
      <c r="E759" s="1"/>
      <c r="G759" s="2"/>
    </row>
    <row r="760" ht="27.0" customHeight="1">
      <c r="C760" s="1"/>
      <c r="D760" s="1"/>
      <c r="E760" s="1"/>
      <c r="G760" s="2"/>
    </row>
    <row r="761" ht="27.0" customHeight="1">
      <c r="C761" s="1"/>
      <c r="D761" s="1"/>
      <c r="E761" s="1"/>
      <c r="G761" s="2"/>
    </row>
    <row r="762" ht="27.0" customHeight="1">
      <c r="C762" s="1"/>
      <c r="D762" s="1"/>
      <c r="E762" s="1"/>
      <c r="G762" s="2"/>
    </row>
    <row r="763" ht="27.0" customHeight="1">
      <c r="C763" s="1"/>
      <c r="D763" s="1"/>
      <c r="E763" s="1"/>
      <c r="G763" s="2"/>
    </row>
    <row r="764" ht="27.0" customHeight="1">
      <c r="C764" s="1"/>
      <c r="D764" s="1"/>
      <c r="E764" s="1"/>
      <c r="G764" s="2"/>
    </row>
    <row r="765" ht="27.0" customHeight="1">
      <c r="C765" s="1"/>
      <c r="D765" s="1"/>
      <c r="E765" s="1"/>
      <c r="G765" s="2"/>
    </row>
    <row r="766" ht="27.0" customHeight="1">
      <c r="C766" s="1"/>
      <c r="D766" s="1"/>
      <c r="E766" s="1"/>
      <c r="G766" s="2"/>
    </row>
    <row r="767" ht="27.0" customHeight="1">
      <c r="C767" s="1"/>
      <c r="D767" s="1"/>
      <c r="E767" s="1"/>
      <c r="G767" s="2"/>
    </row>
    <row r="768" ht="27.0" customHeight="1">
      <c r="C768" s="1"/>
      <c r="D768" s="1"/>
      <c r="E768" s="1"/>
      <c r="G768" s="2"/>
    </row>
    <row r="769" ht="27.0" customHeight="1">
      <c r="C769" s="1"/>
      <c r="D769" s="1"/>
      <c r="E769" s="1"/>
      <c r="G769" s="2"/>
    </row>
    <row r="770" ht="27.0" customHeight="1">
      <c r="C770" s="1"/>
      <c r="D770" s="1"/>
      <c r="E770" s="1"/>
      <c r="G770" s="2"/>
    </row>
    <row r="771" ht="27.0" customHeight="1">
      <c r="C771" s="1"/>
      <c r="D771" s="1"/>
      <c r="E771" s="1"/>
      <c r="G771" s="2"/>
    </row>
    <row r="772" ht="27.0" customHeight="1">
      <c r="C772" s="1"/>
      <c r="D772" s="1"/>
      <c r="E772" s="1"/>
      <c r="G772" s="2"/>
    </row>
    <row r="773" ht="27.0" customHeight="1">
      <c r="C773" s="1"/>
      <c r="D773" s="1"/>
      <c r="E773" s="1"/>
      <c r="G773" s="2"/>
    </row>
    <row r="774" ht="27.0" customHeight="1">
      <c r="C774" s="1"/>
      <c r="D774" s="1"/>
      <c r="E774" s="1"/>
      <c r="G774" s="2"/>
    </row>
    <row r="775" ht="27.0" customHeight="1">
      <c r="C775" s="1"/>
      <c r="D775" s="1"/>
      <c r="E775" s="1"/>
      <c r="G775" s="2"/>
    </row>
    <row r="776" ht="27.0" customHeight="1">
      <c r="C776" s="1"/>
      <c r="D776" s="1"/>
      <c r="E776" s="1"/>
      <c r="G776" s="2"/>
    </row>
    <row r="777" ht="27.0" customHeight="1">
      <c r="C777" s="1"/>
      <c r="D777" s="1"/>
      <c r="E777" s="1"/>
      <c r="G777" s="2"/>
    </row>
    <row r="778" ht="27.0" customHeight="1">
      <c r="C778" s="1"/>
      <c r="D778" s="1"/>
      <c r="E778" s="1"/>
      <c r="G778" s="2"/>
    </row>
    <row r="779" ht="27.0" customHeight="1">
      <c r="C779" s="1"/>
      <c r="D779" s="1"/>
      <c r="E779" s="1"/>
      <c r="G779" s="2"/>
    </row>
    <row r="780" ht="27.0" customHeight="1">
      <c r="C780" s="1"/>
      <c r="D780" s="1"/>
      <c r="E780" s="1"/>
      <c r="G780" s="2"/>
    </row>
    <row r="781" ht="27.0" customHeight="1">
      <c r="C781" s="1"/>
      <c r="D781" s="1"/>
      <c r="E781" s="1"/>
      <c r="G781" s="2"/>
    </row>
    <row r="782" ht="27.0" customHeight="1">
      <c r="C782" s="1"/>
      <c r="D782" s="1"/>
      <c r="E782" s="1"/>
      <c r="G782" s="2"/>
    </row>
    <row r="783" ht="27.0" customHeight="1">
      <c r="C783" s="1"/>
      <c r="D783" s="1"/>
      <c r="E783" s="1"/>
      <c r="G783" s="2"/>
    </row>
    <row r="784" ht="27.0" customHeight="1">
      <c r="C784" s="1"/>
      <c r="D784" s="1"/>
      <c r="E784" s="1"/>
      <c r="G784" s="2"/>
    </row>
    <row r="785" ht="27.0" customHeight="1">
      <c r="C785" s="1"/>
      <c r="D785" s="1"/>
      <c r="E785" s="1"/>
      <c r="G785" s="2"/>
    </row>
    <row r="786" ht="27.0" customHeight="1">
      <c r="C786" s="1"/>
      <c r="D786" s="1"/>
      <c r="E786" s="1"/>
      <c r="G786" s="2"/>
    </row>
    <row r="787" ht="27.0" customHeight="1">
      <c r="C787" s="1"/>
      <c r="D787" s="1"/>
      <c r="E787" s="1"/>
      <c r="G787" s="2"/>
    </row>
    <row r="788" ht="27.0" customHeight="1">
      <c r="C788" s="1"/>
      <c r="D788" s="1"/>
      <c r="E788" s="1"/>
      <c r="G788" s="2"/>
    </row>
    <row r="789" ht="27.0" customHeight="1">
      <c r="C789" s="1"/>
      <c r="D789" s="1"/>
      <c r="E789" s="1"/>
      <c r="G789" s="2"/>
    </row>
    <row r="790" ht="27.0" customHeight="1">
      <c r="C790" s="1"/>
      <c r="D790" s="1"/>
      <c r="E790" s="1"/>
      <c r="G790" s="2"/>
    </row>
    <row r="791" ht="27.0" customHeight="1">
      <c r="C791" s="1"/>
      <c r="D791" s="1"/>
      <c r="E791" s="1"/>
      <c r="G791" s="2"/>
    </row>
    <row r="792" ht="27.0" customHeight="1">
      <c r="C792" s="1"/>
      <c r="D792" s="1"/>
      <c r="E792" s="1"/>
      <c r="G792" s="2"/>
    </row>
    <row r="793" ht="27.0" customHeight="1">
      <c r="C793" s="1"/>
      <c r="D793" s="1"/>
      <c r="E793" s="1"/>
      <c r="G793" s="2"/>
    </row>
    <row r="794" ht="27.0" customHeight="1">
      <c r="C794" s="1"/>
      <c r="D794" s="1"/>
      <c r="E794" s="1"/>
      <c r="G794" s="2"/>
    </row>
    <row r="795" ht="27.0" customHeight="1">
      <c r="C795" s="1"/>
      <c r="D795" s="1"/>
      <c r="E795" s="1"/>
      <c r="G795" s="2"/>
    </row>
    <row r="796" ht="27.0" customHeight="1">
      <c r="C796" s="1"/>
      <c r="D796" s="1"/>
      <c r="E796" s="1"/>
      <c r="G796" s="2"/>
    </row>
    <row r="797" ht="27.0" customHeight="1">
      <c r="C797" s="1"/>
      <c r="D797" s="1"/>
      <c r="E797" s="1"/>
      <c r="G797" s="2"/>
    </row>
    <row r="798" ht="27.0" customHeight="1">
      <c r="C798" s="1"/>
      <c r="D798" s="1"/>
      <c r="E798" s="1"/>
      <c r="G798" s="2"/>
    </row>
    <row r="799" ht="27.0" customHeight="1">
      <c r="C799" s="1"/>
      <c r="D799" s="1"/>
      <c r="E799" s="1"/>
      <c r="G799" s="2"/>
    </row>
    <row r="800" ht="27.0" customHeight="1">
      <c r="C800" s="1"/>
      <c r="D800" s="1"/>
      <c r="E800" s="1"/>
      <c r="G800" s="2"/>
    </row>
    <row r="801" ht="27.0" customHeight="1">
      <c r="C801" s="1"/>
      <c r="D801" s="1"/>
      <c r="E801" s="1"/>
      <c r="G801" s="2"/>
    </row>
    <row r="802" ht="27.0" customHeight="1">
      <c r="C802" s="1"/>
      <c r="D802" s="1"/>
      <c r="E802" s="1"/>
      <c r="G802" s="2"/>
    </row>
    <row r="803" ht="27.0" customHeight="1">
      <c r="C803" s="1"/>
      <c r="D803" s="1"/>
      <c r="E803" s="1"/>
      <c r="G803" s="2"/>
    </row>
    <row r="804" ht="27.0" customHeight="1">
      <c r="C804" s="1"/>
      <c r="D804" s="1"/>
      <c r="E804" s="1"/>
      <c r="G804" s="2"/>
    </row>
    <row r="805" ht="27.0" customHeight="1">
      <c r="C805" s="1"/>
      <c r="D805" s="1"/>
      <c r="E805" s="1"/>
      <c r="G805" s="2"/>
    </row>
    <row r="806" ht="27.0" customHeight="1">
      <c r="C806" s="1"/>
      <c r="D806" s="1"/>
      <c r="E806" s="1"/>
      <c r="G806" s="2"/>
    </row>
    <row r="807" ht="27.0" customHeight="1">
      <c r="C807" s="1"/>
      <c r="D807" s="1"/>
      <c r="E807" s="1"/>
      <c r="G807" s="2"/>
    </row>
    <row r="808" ht="27.0" customHeight="1">
      <c r="C808" s="1"/>
      <c r="D808" s="1"/>
      <c r="E808" s="1"/>
      <c r="G808" s="2"/>
    </row>
    <row r="809" ht="27.0" customHeight="1">
      <c r="C809" s="1"/>
      <c r="D809" s="1"/>
      <c r="E809" s="1"/>
      <c r="G809" s="2"/>
    </row>
    <row r="810" ht="27.0" customHeight="1">
      <c r="C810" s="1"/>
      <c r="D810" s="1"/>
      <c r="E810" s="1"/>
      <c r="G810" s="2"/>
    </row>
    <row r="811" ht="27.0" customHeight="1">
      <c r="C811" s="1"/>
      <c r="D811" s="1"/>
      <c r="E811" s="1"/>
      <c r="G811" s="2"/>
    </row>
    <row r="812" ht="27.0" customHeight="1">
      <c r="C812" s="1"/>
      <c r="D812" s="1"/>
      <c r="E812" s="1"/>
      <c r="G812" s="2"/>
    </row>
    <row r="813" ht="27.0" customHeight="1">
      <c r="C813" s="1"/>
      <c r="D813" s="1"/>
      <c r="E813" s="1"/>
      <c r="G813" s="2"/>
    </row>
    <row r="814" ht="27.0" customHeight="1">
      <c r="C814" s="1"/>
      <c r="D814" s="1"/>
      <c r="E814" s="1"/>
      <c r="G814" s="2"/>
    </row>
    <row r="815" ht="27.0" customHeight="1">
      <c r="C815" s="1"/>
      <c r="D815" s="1"/>
      <c r="E815" s="1"/>
      <c r="G815" s="2"/>
    </row>
    <row r="816" ht="27.0" customHeight="1">
      <c r="C816" s="1"/>
      <c r="D816" s="1"/>
      <c r="E816" s="1"/>
      <c r="G816" s="2"/>
    </row>
    <row r="817" ht="27.0" customHeight="1">
      <c r="C817" s="1"/>
      <c r="D817" s="1"/>
      <c r="E817" s="1"/>
      <c r="G817" s="2"/>
    </row>
    <row r="818" ht="27.0" customHeight="1">
      <c r="C818" s="1"/>
      <c r="D818" s="1"/>
      <c r="E818" s="1"/>
      <c r="G818" s="2"/>
    </row>
    <row r="819" ht="27.0" customHeight="1">
      <c r="C819" s="1"/>
      <c r="D819" s="1"/>
      <c r="E819" s="1"/>
      <c r="G819" s="2"/>
    </row>
    <row r="820" ht="27.0" customHeight="1">
      <c r="C820" s="1"/>
      <c r="D820" s="1"/>
      <c r="E820" s="1"/>
      <c r="G820" s="2"/>
    </row>
    <row r="821" ht="27.0" customHeight="1">
      <c r="C821" s="1"/>
      <c r="D821" s="1"/>
      <c r="E821" s="1"/>
      <c r="G821" s="2"/>
    </row>
    <row r="822" ht="27.0" customHeight="1">
      <c r="C822" s="1"/>
      <c r="D822" s="1"/>
      <c r="E822" s="1"/>
      <c r="G822" s="2"/>
    </row>
    <row r="823" ht="27.0" customHeight="1">
      <c r="C823" s="1"/>
      <c r="D823" s="1"/>
      <c r="E823" s="1"/>
      <c r="G823" s="2"/>
    </row>
    <row r="824" ht="27.0" customHeight="1">
      <c r="C824" s="1"/>
      <c r="D824" s="1"/>
      <c r="E824" s="1"/>
      <c r="G824" s="2"/>
    </row>
    <row r="825" ht="27.0" customHeight="1">
      <c r="C825" s="1"/>
      <c r="D825" s="1"/>
      <c r="E825" s="1"/>
      <c r="G825" s="2"/>
    </row>
    <row r="826" ht="27.0" customHeight="1">
      <c r="C826" s="1"/>
      <c r="D826" s="1"/>
      <c r="E826" s="1"/>
      <c r="G826" s="2"/>
    </row>
    <row r="827" ht="27.0" customHeight="1">
      <c r="C827" s="1"/>
      <c r="D827" s="1"/>
      <c r="E827" s="1"/>
      <c r="G827" s="2"/>
    </row>
    <row r="828" ht="27.0" customHeight="1">
      <c r="C828" s="1"/>
      <c r="D828" s="1"/>
      <c r="E828" s="1"/>
      <c r="G828" s="2"/>
    </row>
    <row r="829" ht="27.0" customHeight="1">
      <c r="C829" s="1"/>
      <c r="D829" s="1"/>
      <c r="E829" s="1"/>
      <c r="G829" s="2"/>
    </row>
    <row r="830" ht="27.0" customHeight="1">
      <c r="C830" s="1"/>
      <c r="D830" s="1"/>
      <c r="E830" s="1"/>
      <c r="G830" s="2"/>
    </row>
    <row r="831" ht="27.0" customHeight="1">
      <c r="C831" s="1"/>
      <c r="D831" s="1"/>
      <c r="E831" s="1"/>
      <c r="G831" s="2"/>
    </row>
    <row r="832" ht="27.0" customHeight="1">
      <c r="C832" s="1"/>
      <c r="D832" s="1"/>
      <c r="E832" s="1"/>
      <c r="G832" s="2"/>
    </row>
    <row r="833" ht="27.0" customHeight="1">
      <c r="C833" s="1"/>
      <c r="D833" s="1"/>
      <c r="E833" s="1"/>
      <c r="G833" s="2"/>
    </row>
    <row r="834" ht="27.0" customHeight="1">
      <c r="C834" s="1"/>
      <c r="D834" s="1"/>
      <c r="E834" s="1"/>
      <c r="G834" s="2"/>
    </row>
    <row r="835" ht="27.0" customHeight="1">
      <c r="C835" s="1"/>
      <c r="D835" s="1"/>
      <c r="E835" s="1"/>
      <c r="G835" s="2"/>
    </row>
    <row r="836" ht="27.0" customHeight="1">
      <c r="C836" s="1"/>
      <c r="D836" s="1"/>
      <c r="E836" s="1"/>
      <c r="G836" s="2"/>
    </row>
    <row r="837" ht="27.0" customHeight="1">
      <c r="C837" s="1"/>
      <c r="D837" s="1"/>
      <c r="E837" s="1"/>
      <c r="G837" s="2"/>
    </row>
    <row r="838" ht="27.0" customHeight="1">
      <c r="C838" s="1"/>
      <c r="D838" s="1"/>
      <c r="E838" s="1"/>
      <c r="G838" s="2"/>
    </row>
    <row r="839" ht="27.0" customHeight="1">
      <c r="C839" s="1"/>
      <c r="D839" s="1"/>
      <c r="E839" s="1"/>
      <c r="G839" s="2"/>
    </row>
    <row r="840" ht="27.0" customHeight="1">
      <c r="C840" s="1"/>
      <c r="D840" s="1"/>
      <c r="E840" s="1"/>
      <c r="G840" s="2"/>
    </row>
    <row r="841" ht="27.0" customHeight="1">
      <c r="C841" s="1"/>
      <c r="D841" s="1"/>
      <c r="E841" s="1"/>
      <c r="G841" s="2"/>
    </row>
    <row r="842" ht="27.0" customHeight="1">
      <c r="C842" s="1"/>
      <c r="D842" s="1"/>
      <c r="E842" s="1"/>
      <c r="G842" s="2"/>
    </row>
    <row r="843" ht="27.0" customHeight="1">
      <c r="C843" s="1"/>
      <c r="D843" s="1"/>
      <c r="E843" s="1"/>
      <c r="G843" s="2"/>
    </row>
    <row r="844" ht="27.0" customHeight="1">
      <c r="C844" s="1"/>
      <c r="D844" s="1"/>
      <c r="E844" s="1"/>
      <c r="G844" s="2"/>
    </row>
    <row r="845" ht="27.0" customHeight="1">
      <c r="C845" s="1"/>
      <c r="D845" s="1"/>
      <c r="E845" s="1"/>
      <c r="G845" s="2"/>
    </row>
    <row r="846" ht="27.0" customHeight="1">
      <c r="C846" s="1"/>
      <c r="D846" s="1"/>
      <c r="E846" s="1"/>
      <c r="G846" s="2"/>
    </row>
    <row r="847" ht="27.0" customHeight="1">
      <c r="C847" s="1"/>
      <c r="D847" s="1"/>
      <c r="E847" s="1"/>
      <c r="G847" s="2"/>
    </row>
    <row r="848" ht="27.0" customHeight="1">
      <c r="C848" s="1"/>
      <c r="D848" s="1"/>
      <c r="E848" s="1"/>
      <c r="G848" s="2"/>
    </row>
    <row r="849" ht="27.0" customHeight="1">
      <c r="C849" s="1"/>
      <c r="D849" s="1"/>
      <c r="E849" s="1"/>
      <c r="G849" s="2"/>
    </row>
    <row r="850" ht="27.0" customHeight="1">
      <c r="C850" s="1"/>
      <c r="D850" s="1"/>
      <c r="E850" s="1"/>
      <c r="G850" s="2"/>
    </row>
    <row r="851" ht="27.0" customHeight="1">
      <c r="C851" s="1"/>
      <c r="D851" s="1"/>
      <c r="E851" s="1"/>
      <c r="G851" s="2"/>
    </row>
    <row r="852" ht="27.0" customHeight="1">
      <c r="C852" s="1"/>
      <c r="D852" s="1"/>
      <c r="E852" s="1"/>
      <c r="G852" s="2"/>
    </row>
    <row r="853" ht="27.0" customHeight="1">
      <c r="C853" s="1"/>
      <c r="D853" s="1"/>
      <c r="E853" s="1"/>
      <c r="G853" s="2"/>
    </row>
    <row r="854" ht="27.0" customHeight="1">
      <c r="C854" s="1"/>
      <c r="D854" s="1"/>
      <c r="E854" s="1"/>
      <c r="G854" s="2"/>
    </row>
    <row r="855" ht="27.0" customHeight="1">
      <c r="C855" s="1"/>
      <c r="D855" s="1"/>
      <c r="E855" s="1"/>
      <c r="G855" s="2"/>
    </row>
    <row r="856" ht="27.0" customHeight="1">
      <c r="C856" s="1"/>
      <c r="D856" s="1"/>
      <c r="E856" s="1"/>
      <c r="G856" s="2"/>
    </row>
    <row r="857" ht="27.0" customHeight="1">
      <c r="C857" s="1"/>
      <c r="D857" s="1"/>
      <c r="E857" s="1"/>
      <c r="G857" s="2"/>
    </row>
    <row r="858" ht="27.0" customHeight="1">
      <c r="C858" s="1"/>
      <c r="D858" s="1"/>
      <c r="E858" s="1"/>
      <c r="G858" s="2"/>
    </row>
    <row r="859" ht="27.0" customHeight="1">
      <c r="C859" s="1"/>
      <c r="D859" s="1"/>
      <c r="E859" s="1"/>
      <c r="G859" s="2"/>
    </row>
    <row r="860" ht="27.0" customHeight="1">
      <c r="C860" s="1"/>
      <c r="D860" s="1"/>
      <c r="E860" s="1"/>
      <c r="G860" s="2"/>
    </row>
    <row r="861" ht="27.0" customHeight="1">
      <c r="C861" s="1"/>
      <c r="D861" s="1"/>
      <c r="E861" s="1"/>
      <c r="G861" s="2"/>
    </row>
    <row r="862" ht="27.0" customHeight="1">
      <c r="C862" s="1"/>
      <c r="D862" s="1"/>
      <c r="E862" s="1"/>
      <c r="G862" s="2"/>
    </row>
    <row r="863" ht="27.0" customHeight="1">
      <c r="C863" s="1"/>
      <c r="D863" s="1"/>
      <c r="E863" s="1"/>
      <c r="G863" s="2"/>
    </row>
    <row r="864" ht="27.0" customHeight="1">
      <c r="C864" s="1"/>
      <c r="D864" s="1"/>
      <c r="E864" s="1"/>
      <c r="G864" s="2"/>
    </row>
    <row r="865" ht="27.0" customHeight="1">
      <c r="C865" s="1"/>
      <c r="D865" s="1"/>
      <c r="E865" s="1"/>
      <c r="G865" s="2"/>
    </row>
    <row r="866" ht="27.0" customHeight="1">
      <c r="C866" s="1"/>
      <c r="D866" s="1"/>
      <c r="E866" s="1"/>
      <c r="G866" s="2"/>
    </row>
    <row r="867" ht="27.0" customHeight="1">
      <c r="C867" s="1"/>
      <c r="D867" s="1"/>
      <c r="E867" s="1"/>
      <c r="G867" s="2"/>
    </row>
    <row r="868" ht="27.0" customHeight="1">
      <c r="C868" s="1"/>
      <c r="D868" s="1"/>
      <c r="E868" s="1"/>
      <c r="G868" s="2"/>
    </row>
    <row r="869" ht="27.0" customHeight="1">
      <c r="C869" s="1"/>
      <c r="D869" s="1"/>
      <c r="E869" s="1"/>
      <c r="G869" s="2"/>
    </row>
    <row r="870" ht="27.0" customHeight="1">
      <c r="C870" s="1"/>
      <c r="D870" s="1"/>
      <c r="E870" s="1"/>
      <c r="G870" s="2"/>
    </row>
    <row r="871" ht="27.0" customHeight="1">
      <c r="C871" s="1"/>
      <c r="D871" s="1"/>
      <c r="E871" s="1"/>
      <c r="G871" s="2"/>
    </row>
    <row r="872" ht="27.0" customHeight="1">
      <c r="C872" s="1"/>
      <c r="D872" s="1"/>
      <c r="E872" s="1"/>
      <c r="G872" s="2"/>
    </row>
    <row r="873" ht="27.0" customHeight="1">
      <c r="C873" s="1"/>
      <c r="D873" s="1"/>
      <c r="E873" s="1"/>
      <c r="G873" s="2"/>
    </row>
    <row r="874" ht="27.0" customHeight="1">
      <c r="C874" s="1"/>
      <c r="D874" s="1"/>
      <c r="E874" s="1"/>
      <c r="G874" s="2"/>
    </row>
    <row r="875" ht="27.0" customHeight="1">
      <c r="C875" s="1"/>
      <c r="D875" s="1"/>
      <c r="E875" s="1"/>
      <c r="G875" s="2"/>
    </row>
    <row r="876" ht="27.0" customHeight="1">
      <c r="C876" s="1"/>
      <c r="D876" s="1"/>
      <c r="E876" s="1"/>
      <c r="G876" s="2"/>
    </row>
    <row r="877" ht="27.0" customHeight="1">
      <c r="C877" s="1"/>
      <c r="D877" s="1"/>
      <c r="E877" s="1"/>
      <c r="G877" s="2"/>
    </row>
    <row r="878" ht="27.0" customHeight="1">
      <c r="C878" s="1"/>
      <c r="D878" s="1"/>
      <c r="E878" s="1"/>
      <c r="G878" s="2"/>
    </row>
    <row r="879" ht="27.0" customHeight="1">
      <c r="C879" s="1"/>
      <c r="D879" s="1"/>
      <c r="E879" s="1"/>
      <c r="G879" s="2"/>
    </row>
    <row r="880" ht="27.0" customHeight="1">
      <c r="C880" s="1"/>
      <c r="D880" s="1"/>
      <c r="E880" s="1"/>
      <c r="G880" s="2"/>
    </row>
    <row r="881" ht="27.0" customHeight="1">
      <c r="C881" s="1"/>
      <c r="D881" s="1"/>
      <c r="E881" s="1"/>
      <c r="G881" s="2"/>
    </row>
    <row r="882" ht="27.0" customHeight="1">
      <c r="C882" s="1"/>
      <c r="D882" s="1"/>
      <c r="E882" s="1"/>
      <c r="G882" s="2"/>
    </row>
    <row r="883" ht="27.0" customHeight="1">
      <c r="C883" s="1"/>
      <c r="D883" s="1"/>
      <c r="E883" s="1"/>
      <c r="G883" s="2"/>
    </row>
    <row r="884" ht="27.0" customHeight="1">
      <c r="C884" s="1"/>
      <c r="D884" s="1"/>
      <c r="E884" s="1"/>
      <c r="G884" s="2"/>
    </row>
    <row r="885" ht="27.0" customHeight="1">
      <c r="C885" s="1"/>
      <c r="D885" s="1"/>
      <c r="E885" s="1"/>
      <c r="G885" s="2"/>
    </row>
    <row r="886" ht="27.0" customHeight="1">
      <c r="C886" s="1"/>
      <c r="D886" s="1"/>
      <c r="E886" s="1"/>
      <c r="G886" s="2"/>
    </row>
    <row r="887" ht="27.0" customHeight="1">
      <c r="C887" s="1"/>
      <c r="D887" s="1"/>
      <c r="E887" s="1"/>
      <c r="G887" s="2"/>
    </row>
    <row r="888" ht="27.0" customHeight="1">
      <c r="C888" s="1"/>
      <c r="D888" s="1"/>
      <c r="E888" s="1"/>
      <c r="G888" s="2"/>
    </row>
    <row r="889" ht="27.0" customHeight="1">
      <c r="C889" s="1"/>
      <c r="D889" s="1"/>
      <c r="E889" s="1"/>
      <c r="G889" s="2"/>
    </row>
    <row r="890" ht="27.0" customHeight="1">
      <c r="C890" s="1"/>
      <c r="D890" s="1"/>
      <c r="E890" s="1"/>
      <c r="G890" s="2"/>
    </row>
    <row r="891" ht="27.0" customHeight="1">
      <c r="C891" s="1"/>
      <c r="D891" s="1"/>
      <c r="E891" s="1"/>
      <c r="G891" s="2"/>
    </row>
    <row r="892" ht="27.0" customHeight="1">
      <c r="C892" s="1"/>
      <c r="D892" s="1"/>
      <c r="E892" s="1"/>
      <c r="G892" s="2"/>
    </row>
    <row r="893" ht="27.0" customHeight="1">
      <c r="C893" s="1"/>
      <c r="D893" s="1"/>
      <c r="E893" s="1"/>
      <c r="G893" s="2"/>
    </row>
    <row r="894" ht="27.0" customHeight="1">
      <c r="C894" s="1"/>
      <c r="D894" s="1"/>
      <c r="E894" s="1"/>
      <c r="G894" s="2"/>
    </row>
    <row r="895" ht="27.0" customHeight="1">
      <c r="C895" s="1"/>
      <c r="D895" s="1"/>
      <c r="E895" s="1"/>
      <c r="G895" s="2"/>
    </row>
    <row r="896" ht="27.0" customHeight="1">
      <c r="C896" s="1"/>
      <c r="D896" s="1"/>
      <c r="E896" s="1"/>
      <c r="G896" s="2"/>
    </row>
    <row r="897" ht="27.0" customHeight="1">
      <c r="C897" s="1"/>
      <c r="D897" s="1"/>
      <c r="E897" s="1"/>
      <c r="G897" s="2"/>
    </row>
    <row r="898" ht="27.0" customHeight="1">
      <c r="C898" s="1"/>
      <c r="D898" s="1"/>
      <c r="E898" s="1"/>
      <c r="G898" s="2"/>
    </row>
    <row r="899" ht="27.0" customHeight="1">
      <c r="C899" s="1"/>
      <c r="D899" s="1"/>
      <c r="E899" s="1"/>
      <c r="G899" s="2"/>
    </row>
    <row r="900" ht="27.0" customHeight="1">
      <c r="C900" s="1"/>
      <c r="D900" s="1"/>
      <c r="E900" s="1"/>
      <c r="G900" s="2"/>
    </row>
    <row r="901" ht="27.0" customHeight="1">
      <c r="C901" s="1"/>
      <c r="D901" s="1"/>
      <c r="E901" s="1"/>
      <c r="G901" s="2"/>
    </row>
    <row r="902" ht="27.0" customHeight="1">
      <c r="C902" s="1"/>
      <c r="D902" s="1"/>
      <c r="E902" s="1"/>
      <c r="G902" s="2"/>
    </row>
    <row r="903" ht="27.0" customHeight="1">
      <c r="C903" s="1"/>
      <c r="D903" s="1"/>
      <c r="E903" s="1"/>
      <c r="G903" s="2"/>
    </row>
    <row r="904" ht="27.0" customHeight="1">
      <c r="C904" s="1"/>
      <c r="D904" s="1"/>
      <c r="E904" s="1"/>
      <c r="G904" s="2"/>
    </row>
    <row r="905" ht="27.0" customHeight="1">
      <c r="C905" s="1"/>
      <c r="D905" s="1"/>
      <c r="E905" s="1"/>
      <c r="G905" s="2"/>
    </row>
    <row r="906" ht="27.0" customHeight="1">
      <c r="C906" s="1"/>
      <c r="D906" s="1"/>
      <c r="E906" s="1"/>
      <c r="G906" s="2"/>
    </row>
    <row r="907" ht="27.0" customHeight="1">
      <c r="C907" s="1"/>
      <c r="D907" s="1"/>
      <c r="E907" s="1"/>
      <c r="G907" s="2"/>
    </row>
    <row r="908" ht="27.0" customHeight="1">
      <c r="C908" s="1"/>
      <c r="D908" s="1"/>
      <c r="E908" s="1"/>
      <c r="G908" s="2"/>
    </row>
    <row r="909" ht="27.0" customHeight="1">
      <c r="C909" s="1"/>
      <c r="D909" s="1"/>
      <c r="E909" s="1"/>
      <c r="G909" s="2"/>
    </row>
    <row r="910" ht="27.0" customHeight="1">
      <c r="C910" s="1"/>
      <c r="D910" s="1"/>
      <c r="E910" s="1"/>
      <c r="G910" s="2"/>
    </row>
    <row r="911" ht="27.0" customHeight="1">
      <c r="C911" s="1"/>
      <c r="D911" s="1"/>
      <c r="E911" s="1"/>
      <c r="G911" s="2"/>
    </row>
    <row r="912" ht="27.0" customHeight="1">
      <c r="C912" s="1"/>
      <c r="D912" s="1"/>
      <c r="E912" s="1"/>
      <c r="G912" s="2"/>
    </row>
    <row r="913" ht="27.0" customHeight="1">
      <c r="C913" s="1"/>
      <c r="D913" s="1"/>
      <c r="E913" s="1"/>
      <c r="G913" s="2"/>
    </row>
    <row r="914" ht="27.0" customHeight="1">
      <c r="C914" s="1"/>
      <c r="D914" s="1"/>
      <c r="E914" s="1"/>
      <c r="G914" s="2"/>
    </row>
    <row r="915" ht="27.0" customHeight="1">
      <c r="C915" s="1"/>
      <c r="D915" s="1"/>
      <c r="E915" s="1"/>
      <c r="G915" s="2"/>
    </row>
    <row r="916" ht="27.0" customHeight="1">
      <c r="C916" s="1"/>
      <c r="D916" s="1"/>
      <c r="E916" s="1"/>
      <c r="G916" s="2"/>
    </row>
    <row r="917" ht="27.0" customHeight="1">
      <c r="C917" s="1"/>
      <c r="D917" s="1"/>
      <c r="E917" s="1"/>
      <c r="G917" s="2"/>
    </row>
    <row r="918" ht="27.0" customHeight="1">
      <c r="C918" s="1"/>
      <c r="D918" s="1"/>
      <c r="E918" s="1"/>
      <c r="G918" s="2"/>
    </row>
    <row r="919" ht="27.0" customHeight="1">
      <c r="C919" s="1"/>
      <c r="D919" s="1"/>
      <c r="E919" s="1"/>
      <c r="G919" s="2"/>
    </row>
    <row r="920" ht="27.0" customHeight="1">
      <c r="C920" s="1"/>
      <c r="D920" s="1"/>
      <c r="E920" s="1"/>
      <c r="G920" s="2"/>
    </row>
    <row r="921" ht="27.0" customHeight="1">
      <c r="C921" s="1"/>
      <c r="D921" s="1"/>
      <c r="E921" s="1"/>
      <c r="G921" s="2"/>
    </row>
    <row r="922" ht="27.0" customHeight="1">
      <c r="C922" s="1"/>
      <c r="D922" s="1"/>
      <c r="E922" s="1"/>
      <c r="G922" s="2"/>
    </row>
    <row r="923" ht="27.0" customHeight="1">
      <c r="C923" s="1"/>
      <c r="D923" s="1"/>
      <c r="E923" s="1"/>
      <c r="G923" s="2"/>
    </row>
    <row r="924" ht="27.0" customHeight="1">
      <c r="C924" s="1"/>
      <c r="D924" s="1"/>
      <c r="E924" s="1"/>
      <c r="G924" s="2"/>
    </row>
    <row r="925" ht="27.0" customHeight="1">
      <c r="C925" s="1"/>
      <c r="D925" s="1"/>
      <c r="E925" s="1"/>
      <c r="G925" s="2"/>
    </row>
    <row r="926" ht="27.0" customHeight="1">
      <c r="C926" s="1"/>
      <c r="D926" s="1"/>
      <c r="E926" s="1"/>
      <c r="G926" s="2"/>
    </row>
    <row r="927" ht="27.0" customHeight="1">
      <c r="C927" s="1"/>
      <c r="D927" s="1"/>
      <c r="E927" s="1"/>
      <c r="G927" s="2"/>
    </row>
    <row r="928" ht="27.0" customHeight="1">
      <c r="C928" s="1"/>
      <c r="D928" s="1"/>
      <c r="E928" s="1"/>
      <c r="G928" s="2"/>
    </row>
    <row r="929" ht="27.0" customHeight="1">
      <c r="C929" s="1"/>
      <c r="D929" s="1"/>
      <c r="E929" s="1"/>
      <c r="G929" s="2"/>
    </row>
    <row r="930" ht="27.0" customHeight="1">
      <c r="C930" s="1"/>
      <c r="D930" s="1"/>
      <c r="E930" s="1"/>
      <c r="G930" s="2"/>
    </row>
    <row r="931" ht="27.0" customHeight="1">
      <c r="C931" s="1"/>
      <c r="D931" s="1"/>
      <c r="E931" s="1"/>
      <c r="G931" s="2"/>
    </row>
    <row r="932" ht="27.0" customHeight="1">
      <c r="C932" s="1"/>
      <c r="D932" s="1"/>
      <c r="E932" s="1"/>
      <c r="G932" s="2"/>
    </row>
    <row r="933" ht="27.0" customHeight="1">
      <c r="C933" s="1"/>
      <c r="D933" s="1"/>
      <c r="E933" s="1"/>
      <c r="G933" s="2"/>
    </row>
    <row r="934" ht="27.0" customHeight="1">
      <c r="C934" s="1"/>
      <c r="D934" s="1"/>
      <c r="E934" s="1"/>
      <c r="G934" s="2"/>
    </row>
    <row r="935" ht="27.0" customHeight="1">
      <c r="C935" s="1"/>
      <c r="D935" s="1"/>
      <c r="E935" s="1"/>
      <c r="G935" s="2"/>
    </row>
    <row r="936" ht="27.0" customHeight="1">
      <c r="C936" s="1"/>
      <c r="D936" s="1"/>
      <c r="E936" s="1"/>
      <c r="G936" s="2"/>
    </row>
    <row r="937" ht="27.0" customHeight="1">
      <c r="C937" s="1"/>
      <c r="D937" s="1"/>
      <c r="E937" s="1"/>
      <c r="G937" s="2"/>
    </row>
    <row r="938" ht="27.0" customHeight="1">
      <c r="C938" s="1"/>
      <c r="D938" s="1"/>
      <c r="E938" s="1"/>
      <c r="G938" s="2"/>
    </row>
    <row r="939" ht="27.0" customHeight="1">
      <c r="C939" s="1"/>
      <c r="D939" s="1"/>
      <c r="E939" s="1"/>
      <c r="G939" s="2"/>
    </row>
    <row r="940" ht="27.0" customHeight="1">
      <c r="C940" s="1"/>
      <c r="D940" s="1"/>
      <c r="E940" s="1"/>
      <c r="G940" s="2"/>
    </row>
    <row r="941" ht="27.0" customHeight="1">
      <c r="C941" s="1"/>
      <c r="D941" s="1"/>
      <c r="E941" s="1"/>
      <c r="G941" s="2"/>
    </row>
    <row r="942" ht="27.0" customHeight="1">
      <c r="C942" s="1"/>
      <c r="D942" s="1"/>
      <c r="E942" s="1"/>
      <c r="G942" s="2"/>
    </row>
    <row r="943" ht="27.0" customHeight="1">
      <c r="C943" s="1"/>
      <c r="D943" s="1"/>
      <c r="E943" s="1"/>
      <c r="G943" s="2"/>
    </row>
    <row r="944" ht="27.0" customHeight="1">
      <c r="C944" s="1"/>
      <c r="D944" s="1"/>
      <c r="E944" s="1"/>
      <c r="G944" s="2"/>
    </row>
    <row r="945" ht="27.0" customHeight="1">
      <c r="C945" s="1"/>
      <c r="D945" s="1"/>
      <c r="E945" s="1"/>
      <c r="G945" s="2"/>
    </row>
    <row r="946" ht="27.0" customHeight="1">
      <c r="C946" s="1"/>
      <c r="D946" s="1"/>
      <c r="E946" s="1"/>
      <c r="G946" s="2"/>
    </row>
    <row r="947" ht="27.0" customHeight="1">
      <c r="C947" s="1"/>
      <c r="D947" s="1"/>
      <c r="E947" s="1"/>
      <c r="G947" s="2"/>
    </row>
    <row r="948" ht="27.0" customHeight="1">
      <c r="C948" s="1"/>
      <c r="D948" s="1"/>
      <c r="E948" s="1"/>
      <c r="G948" s="2"/>
    </row>
    <row r="949" ht="27.0" customHeight="1">
      <c r="C949" s="1"/>
      <c r="D949" s="1"/>
      <c r="E949" s="1"/>
      <c r="G949" s="2"/>
    </row>
    <row r="950" ht="27.0" customHeight="1">
      <c r="C950" s="1"/>
      <c r="D950" s="1"/>
      <c r="E950" s="1"/>
      <c r="G950" s="2"/>
    </row>
    <row r="951" ht="27.0" customHeight="1">
      <c r="C951" s="1"/>
      <c r="D951" s="1"/>
      <c r="E951" s="1"/>
      <c r="G951" s="2"/>
    </row>
    <row r="952" ht="27.0" customHeight="1">
      <c r="C952" s="1"/>
      <c r="D952" s="1"/>
      <c r="E952" s="1"/>
      <c r="G952" s="2"/>
    </row>
    <row r="953" ht="27.0" customHeight="1">
      <c r="C953" s="1"/>
      <c r="D953" s="1"/>
      <c r="E953" s="1"/>
      <c r="G953" s="2"/>
    </row>
    <row r="954" ht="27.0" customHeight="1">
      <c r="C954" s="1"/>
      <c r="D954" s="1"/>
      <c r="E954" s="1"/>
      <c r="G954" s="2"/>
    </row>
    <row r="955" ht="27.0" customHeight="1">
      <c r="C955" s="1"/>
      <c r="D955" s="1"/>
      <c r="E955" s="1"/>
      <c r="G955" s="2"/>
    </row>
    <row r="956" ht="27.0" customHeight="1">
      <c r="C956" s="1"/>
      <c r="D956" s="1"/>
      <c r="E956" s="1"/>
      <c r="G956" s="2"/>
    </row>
    <row r="957" ht="27.0" customHeight="1">
      <c r="C957" s="1"/>
      <c r="D957" s="1"/>
      <c r="E957" s="1"/>
      <c r="G957" s="2"/>
    </row>
    <row r="958" ht="27.0" customHeight="1">
      <c r="C958" s="1"/>
      <c r="D958" s="1"/>
      <c r="E958" s="1"/>
      <c r="G958" s="2"/>
    </row>
    <row r="959" ht="27.0" customHeight="1">
      <c r="C959" s="1"/>
      <c r="D959" s="1"/>
      <c r="E959" s="1"/>
      <c r="G959" s="2"/>
    </row>
    <row r="960" ht="27.0" customHeight="1">
      <c r="C960" s="1"/>
      <c r="D960" s="1"/>
      <c r="E960" s="1"/>
      <c r="G960" s="2"/>
    </row>
    <row r="961" ht="27.0" customHeight="1">
      <c r="C961" s="1"/>
      <c r="D961" s="1"/>
      <c r="E961" s="1"/>
      <c r="G961" s="2"/>
    </row>
    <row r="962" ht="27.0" customHeight="1">
      <c r="C962" s="1"/>
      <c r="D962" s="1"/>
      <c r="E962" s="1"/>
      <c r="G962" s="2"/>
    </row>
    <row r="963" ht="27.0" customHeight="1">
      <c r="C963" s="1"/>
      <c r="D963" s="1"/>
      <c r="E963" s="1"/>
      <c r="G963" s="2"/>
    </row>
    <row r="964" ht="27.0" customHeight="1">
      <c r="C964" s="1"/>
      <c r="D964" s="1"/>
      <c r="E964" s="1"/>
      <c r="G964" s="2"/>
    </row>
    <row r="965" ht="27.0" customHeight="1">
      <c r="C965" s="1"/>
      <c r="D965" s="1"/>
      <c r="E965" s="1"/>
      <c r="G965" s="2"/>
    </row>
    <row r="966" ht="27.0" customHeight="1">
      <c r="C966" s="1"/>
      <c r="D966" s="1"/>
      <c r="E966" s="1"/>
      <c r="G966" s="2"/>
    </row>
    <row r="967" ht="27.0" customHeight="1">
      <c r="C967" s="1"/>
      <c r="D967" s="1"/>
      <c r="E967" s="1"/>
      <c r="G967" s="2"/>
    </row>
    <row r="968" ht="27.0" customHeight="1">
      <c r="C968" s="1"/>
      <c r="D968" s="1"/>
      <c r="E968" s="1"/>
      <c r="G968" s="2"/>
    </row>
    <row r="969" ht="27.0" customHeight="1">
      <c r="C969" s="1"/>
      <c r="D969" s="1"/>
      <c r="E969" s="1"/>
      <c r="G969" s="2"/>
    </row>
    <row r="970" ht="27.0" customHeight="1">
      <c r="C970" s="1"/>
      <c r="D970" s="1"/>
      <c r="E970" s="1"/>
      <c r="G970" s="2"/>
    </row>
    <row r="971" ht="27.0" customHeight="1">
      <c r="C971" s="1"/>
      <c r="D971" s="1"/>
      <c r="E971" s="1"/>
      <c r="G971" s="2"/>
    </row>
    <row r="972" ht="27.0" customHeight="1">
      <c r="C972" s="1"/>
      <c r="D972" s="1"/>
      <c r="E972" s="1"/>
      <c r="G972" s="2"/>
    </row>
    <row r="973" ht="27.0" customHeight="1">
      <c r="C973" s="1"/>
      <c r="D973" s="1"/>
      <c r="E973" s="1"/>
      <c r="G973" s="2"/>
    </row>
    <row r="974" ht="27.0" customHeight="1">
      <c r="C974" s="1"/>
      <c r="D974" s="1"/>
      <c r="E974" s="1"/>
      <c r="G974" s="2"/>
    </row>
    <row r="975" ht="27.0" customHeight="1">
      <c r="C975" s="1"/>
      <c r="D975" s="1"/>
      <c r="E975" s="1"/>
      <c r="G975" s="2"/>
    </row>
    <row r="976" ht="27.0" customHeight="1">
      <c r="C976" s="1"/>
      <c r="D976" s="1"/>
      <c r="E976" s="1"/>
      <c r="G976" s="2"/>
    </row>
    <row r="977" ht="27.0" customHeight="1">
      <c r="C977" s="1"/>
      <c r="D977" s="1"/>
      <c r="E977" s="1"/>
      <c r="G977" s="2"/>
    </row>
    <row r="978" ht="27.0" customHeight="1">
      <c r="C978" s="1"/>
      <c r="D978" s="1"/>
      <c r="E978" s="1"/>
      <c r="G978" s="2"/>
    </row>
    <row r="979" ht="27.0" customHeight="1">
      <c r="C979" s="1"/>
      <c r="D979" s="1"/>
      <c r="E979" s="1"/>
      <c r="G979" s="2"/>
    </row>
    <row r="980" ht="27.0" customHeight="1">
      <c r="C980" s="1"/>
      <c r="D980" s="1"/>
      <c r="E980" s="1"/>
      <c r="G980" s="2"/>
    </row>
    <row r="981" ht="27.0" customHeight="1">
      <c r="C981" s="1"/>
      <c r="D981" s="1"/>
      <c r="E981" s="1"/>
      <c r="G981" s="2"/>
    </row>
    <row r="982" ht="27.0" customHeight="1">
      <c r="C982" s="1"/>
      <c r="D982" s="1"/>
      <c r="E982" s="1"/>
      <c r="G982" s="2"/>
    </row>
    <row r="983" ht="27.0" customHeight="1">
      <c r="C983" s="1"/>
      <c r="D983" s="1"/>
      <c r="E983" s="1"/>
      <c r="G983" s="2"/>
    </row>
    <row r="984" ht="27.0" customHeight="1">
      <c r="C984" s="1"/>
      <c r="D984" s="1"/>
      <c r="E984" s="1"/>
      <c r="G984" s="2"/>
    </row>
    <row r="985" ht="27.0" customHeight="1">
      <c r="C985" s="1"/>
      <c r="D985" s="1"/>
      <c r="E985" s="1"/>
      <c r="G985" s="2"/>
    </row>
    <row r="986" ht="27.0" customHeight="1">
      <c r="C986" s="1"/>
      <c r="D986" s="1"/>
      <c r="E986" s="1"/>
      <c r="G986" s="2"/>
    </row>
    <row r="987" ht="27.0" customHeight="1">
      <c r="C987" s="1"/>
      <c r="D987" s="1"/>
      <c r="E987" s="1"/>
      <c r="G987" s="2"/>
    </row>
    <row r="988" ht="27.0" customHeight="1">
      <c r="C988" s="1"/>
      <c r="D988" s="1"/>
      <c r="E988" s="1"/>
      <c r="G988" s="2"/>
    </row>
    <row r="989" ht="27.0" customHeight="1">
      <c r="C989" s="1"/>
      <c r="D989" s="1"/>
      <c r="E989" s="1"/>
      <c r="G989" s="2"/>
    </row>
    <row r="990" ht="27.0" customHeight="1">
      <c r="C990" s="1"/>
      <c r="D990" s="1"/>
      <c r="E990" s="1"/>
      <c r="G990" s="2"/>
    </row>
    <row r="991" ht="27.0" customHeight="1">
      <c r="C991" s="1"/>
      <c r="D991" s="1"/>
      <c r="E991" s="1"/>
      <c r="G991" s="2"/>
    </row>
    <row r="992" ht="27.0" customHeight="1">
      <c r="C992" s="1"/>
      <c r="D992" s="1"/>
      <c r="E992" s="1"/>
      <c r="G992" s="2"/>
    </row>
    <row r="993" ht="27.0" customHeight="1">
      <c r="C993" s="1"/>
      <c r="D993" s="1"/>
      <c r="E993" s="1"/>
      <c r="G993" s="2"/>
    </row>
    <row r="994" ht="27.0" customHeight="1">
      <c r="C994" s="1"/>
      <c r="D994" s="1"/>
      <c r="E994" s="1"/>
      <c r="G994" s="2"/>
    </row>
    <row r="995" ht="27.0" customHeight="1">
      <c r="C995" s="1"/>
      <c r="D995" s="1"/>
      <c r="E995" s="1"/>
      <c r="G995" s="2"/>
    </row>
    <row r="996" ht="27.0" customHeight="1">
      <c r="C996" s="1"/>
      <c r="D996" s="1"/>
      <c r="E996" s="1"/>
      <c r="G996" s="2"/>
    </row>
    <row r="997" ht="27.0" customHeight="1">
      <c r="C997" s="1"/>
      <c r="D997" s="1"/>
      <c r="E997" s="1"/>
      <c r="G997" s="2"/>
    </row>
    <row r="998" ht="27.0" customHeight="1">
      <c r="C998" s="1"/>
      <c r="D998" s="1"/>
      <c r="E998" s="1"/>
      <c r="G998" s="2"/>
    </row>
    <row r="999" ht="27.0" customHeight="1">
      <c r="C999" s="1"/>
      <c r="D999" s="1"/>
      <c r="E999" s="1"/>
      <c r="G999" s="2"/>
    </row>
    <row r="1000" ht="27.0" customHeight="1">
      <c r="C1000" s="1"/>
      <c r="D1000" s="1"/>
      <c r="E1000" s="1"/>
      <c r="G1000" s="2"/>
    </row>
  </sheetData>
  <autoFilter ref="$B$7:$P$51"/>
  <mergeCells count="5">
    <mergeCell ref="C2:D2"/>
    <mergeCell ref="E2:F4"/>
    <mergeCell ref="I2:K4"/>
    <mergeCell ref="C3:D3"/>
    <mergeCell ref="C4:D4"/>
  </mergeCells>
  <conditionalFormatting sqref="J17:J22 J24:J26 J28:J31 J33:J36 J38:J42">
    <cfRule type="expression" dxfId="0" priority="1">
      <formula>"g5=max($G$5,$G$12,$G$19,$G$24,$G$29)"</formula>
    </cfRule>
  </conditionalFormatting>
  <conditionalFormatting sqref="I18 I28:I31 I33:I36 I38:I42">
    <cfRule type="cellIs" dxfId="1" priority="2" operator="equal">
      <formula>"M"</formula>
    </cfRule>
  </conditionalFormatting>
  <conditionalFormatting sqref="I18 I28:I31 I33:I36 I38:I42">
    <cfRule type="cellIs" dxfId="2" priority="3" operator="equal">
      <formula>"L"</formula>
    </cfRule>
  </conditionalFormatting>
  <conditionalFormatting sqref="I18 I28:I31 I33:I36 I38:I42">
    <cfRule type="cellIs" dxfId="3" priority="4" operator="equal">
      <formula>"H"</formula>
    </cfRule>
  </conditionalFormatting>
  <conditionalFormatting sqref="I44 I50">
    <cfRule type="cellIs" dxfId="1" priority="5" operator="equal">
      <formula>"M"</formula>
    </cfRule>
  </conditionalFormatting>
  <conditionalFormatting sqref="I44 I50">
    <cfRule type="cellIs" dxfId="2" priority="6" operator="equal">
      <formula>"L"</formula>
    </cfRule>
  </conditionalFormatting>
  <conditionalFormatting sqref="I44 I50">
    <cfRule type="cellIs" dxfId="3" priority="7" operator="equal">
      <formula>"H"</formula>
    </cfRule>
  </conditionalFormatting>
  <conditionalFormatting sqref="I24:I26">
    <cfRule type="cellIs" dxfId="1" priority="8" operator="equal">
      <formula>"M"</formula>
    </cfRule>
  </conditionalFormatting>
  <conditionalFormatting sqref="I24:I26">
    <cfRule type="cellIs" dxfId="2" priority="9" operator="equal">
      <formula>"L"</formula>
    </cfRule>
  </conditionalFormatting>
  <conditionalFormatting sqref="I24:I26">
    <cfRule type="cellIs" dxfId="3" priority="10" operator="equal">
      <formula>"H"</formula>
    </cfRule>
  </conditionalFormatting>
  <conditionalFormatting sqref="I19:I22">
    <cfRule type="cellIs" dxfId="1" priority="11" operator="equal">
      <formula>"M"</formula>
    </cfRule>
  </conditionalFormatting>
  <conditionalFormatting sqref="I19:I22">
    <cfRule type="cellIs" dxfId="2" priority="12" operator="equal">
      <formula>"L"</formula>
    </cfRule>
  </conditionalFormatting>
  <conditionalFormatting sqref="I19:I22">
    <cfRule type="cellIs" dxfId="3" priority="13" operator="equal">
      <formula>"H"</formula>
    </cfRule>
  </conditionalFormatting>
  <conditionalFormatting sqref="I8">
    <cfRule type="cellIs" dxfId="1" priority="14" operator="equal">
      <formula>"M"</formula>
    </cfRule>
  </conditionalFormatting>
  <conditionalFormatting sqref="I8">
    <cfRule type="cellIs" dxfId="2" priority="15" operator="equal">
      <formula>"L"</formula>
    </cfRule>
  </conditionalFormatting>
  <conditionalFormatting sqref="I8">
    <cfRule type="cellIs" dxfId="3" priority="16" operator="equal">
      <formula>"H"</formula>
    </cfRule>
  </conditionalFormatting>
  <conditionalFormatting sqref="I9:I16">
    <cfRule type="cellIs" dxfId="1" priority="17" operator="equal">
      <formula>"M"</formula>
    </cfRule>
  </conditionalFormatting>
  <conditionalFormatting sqref="I9:I16">
    <cfRule type="cellIs" dxfId="2" priority="18" operator="equal">
      <formula>"L"</formula>
    </cfRule>
  </conditionalFormatting>
  <conditionalFormatting sqref="I9:I16">
    <cfRule type="cellIs" dxfId="3" priority="19" operator="equal">
      <formula>"H"</formula>
    </cfRule>
  </conditionalFormatting>
  <conditionalFormatting sqref="I45">
    <cfRule type="cellIs" dxfId="1" priority="20" operator="equal">
      <formula>"M"</formula>
    </cfRule>
  </conditionalFormatting>
  <conditionalFormatting sqref="I45">
    <cfRule type="cellIs" dxfId="2" priority="21" operator="equal">
      <formula>"L"</formula>
    </cfRule>
  </conditionalFormatting>
  <conditionalFormatting sqref="I45">
    <cfRule type="cellIs" dxfId="3" priority="22" operator="equal">
      <formula>"H"</formula>
    </cfRule>
  </conditionalFormatting>
  <conditionalFormatting sqref="I46">
    <cfRule type="cellIs" dxfId="1" priority="23" operator="equal">
      <formula>"M"</formula>
    </cfRule>
  </conditionalFormatting>
  <conditionalFormatting sqref="I46">
    <cfRule type="cellIs" dxfId="2" priority="24" operator="equal">
      <formula>"L"</formula>
    </cfRule>
  </conditionalFormatting>
  <conditionalFormatting sqref="I46">
    <cfRule type="cellIs" dxfId="3" priority="25" operator="equal">
      <formula>"H"</formula>
    </cfRule>
  </conditionalFormatting>
  <conditionalFormatting sqref="I48:I49">
    <cfRule type="cellIs" dxfId="1" priority="26" operator="equal">
      <formula>"M"</formula>
    </cfRule>
  </conditionalFormatting>
  <conditionalFormatting sqref="I48:I49">
    <cfRule type="cellIs" dxfId="2" priority="27" operator="equal">
      <formula>"L"</formula>
    </cfRule>
  </conditionalFormatting>
  <conditionalFormatting sqref="I48:I49">
    <cfRule type="cellIs" dxfId="3" priority="28" operator="equal">
      <formula>"H"</formula>
    </cfRule>
  </conditionalFormatting>
  <dataValidations>
    <dataValidation type="list" allowBlank="1" showInputMessage="1" showErrorMessage="1" prompt=" - " sqref="I8:I16 I18:I22 I24:I26 I28:I31 I33:I36 I38:I42 I44:I46 I48:I50">
      <formula1>"L,M,H"</formula1>
    </dataValidation>
  </dataValidations>
  <printOptions/>
  <pageMargins bottom="0.75" footer="0.0" header="0.0" left="0.7" right="0.7" top="0.75"/>
  <pageSetup orientation="landscape"/>
  <drawing r:id="rId1"/>
</worksheet>
</file>