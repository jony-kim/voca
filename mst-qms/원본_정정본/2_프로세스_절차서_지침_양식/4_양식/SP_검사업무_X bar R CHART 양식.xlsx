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-R 관리도" sheetId="1" r:id="rId5"/>
  </sheets>
  <definedNames/>
  <calcPr/>
</workbook>
</file>

<file path=xl/sharedStrings.xml><?xml version="1.0" encoding="utf-8"?>
<sst xmlns="http://schemas.openxmlformats.org/spreadsheetml/2006/main" count="113" uniqueCount="91">
  <si>
    <t>검사일</t>
  </si>
  <si>
    <t>11/1</t>
  </si>
  <si>
    <t>11/2</t>
  </si>
  <si>
    <t>11/3</t>
  </si>
  <si>
    <t>11/5</t>
  </si>
  <si>
    <t>11/6</t>
  </si>
  <si>
    <t>11/7</t>
  </si>
  <si>
    <t>11/8</t>
  </si>
  <si>
    <t>11/9</t>
  </si>
  <si>
    <t>11/10</t>
  </si>
  <si>
    <t>11/12</t>
  </si>
  <si>
    <t>11/13</t>
  </si>
  <si>
    <t>11/14</t>
  </si>
  <si>
    <t>11/15</t>
  </si>
  <si>
    <t>11/16</t>
  </si>
  <si>
    <t>11/17</t>
  </si>
  <si>
    <t>11/19</t>
  </si>
  <si>
    <t>11/20</t>
  </si>
  <si>
    <t>11/21</t>
  </si>
  <si>
    <t>11/22</t>
  </si>
  <si>
    <t>11/23</t>
  </si>
  <si>
    <t>11/24</t>
  </si>
  <si>
    <t>11/26</t>
  </si>
  <si>
    <t>11/27</t>
  </si>
  <si>
    <t>11/28</t>
  </si>
  <si>
    <t>온도</t>
  </si>
  <si>
    <t/>
  </si>
  <si>
    <t>시작일</t>
  </si>
  <si>
    <r>
      <rPr>
        <rFont val="맑은 고딕"/>
        <b/>
        <color theme="1"/>
        <sz val="14.0"/>
      </rPr>
      <t>☞</t>
    </r>
    <r>
      <rPr>
        <rFont val="굴림"/>
        <b/>
        <color theme="1"/>
        <sz val="14.0"/>
      </rPr>
      <t>Xbar­R Charts 작성 방법</t>
    </r>
  </si>
  <si>
    <t>종료일</t>
  </si>
  <si>
    <t>품번</t>
  </si>
  <si>
    <t>전 기종</t>
  </si>
  <si>
    <t>중요 공정</t>
  </si>
  <si>
    <t/>
  </si>
  <si>
    <t>특별 항목</t>
  </si>
  <si>
    <t/>
  </si>
  <si>
    <t>SPEC</t>
  </si>
  <si>
    <t/>
  </si>
  <si>
    <t>측정기</t>
  </si>
  <si>
    <t/>
  </si>
  <si>
    <t>1. CTQ항목에 대한 cpk를 산출하기 위해  규격에 대한 상한값/중심값/하한값을 입력합니다.</t>
  </si>
  <si>
    <t>상한값</t>
  </si>
  <si>
    <t>X1</t>
  </si>
  <si>
    <t>중심값</t>
  </si>
  <si>
    <t>X2</t>
  </si>
  <si>
    <t>하한값</t>
  </si>
  <si>
    <t>X3</t>
  </si>
  <si>
    <t>X4</t>
  </si>
  <si>
    <t>2. 산술 통계값은 Sample 측정값을 입력하면 자동 산출됩니다.</t>
  </si>
  <si>
    <t>X5</t>
  </si>
  <si>
    <t xml:space="preserve">통계치 </t>
  </si>
  <si>
    <t>Xbar(평균)</t>
  </si>
  <si>
    <t>최   대  값(Max)</t>
  </si>
  <si>
    <t>R(범위)</t>
  </si>
  <si>
    <t>최   소  값(Min)</t>
  </si>
  <si>
    <t>Xbar 관리규격</t>
  </si>
  <si>
    <t>UCL (상한관리한계)</t>
  </si>
  <si>
    <t>CL (중심선)</t>
  </si>
  <si>
    <t>LCL (하한관리한계)</t>
  </si>
  <si>
    <t>R 관리규격</t>
  </si>
  <si>
    <t>평 균 (Average)</t>
  </si>
  <si>
    <t>표 준 편 차 ( σ )</t>
  </si>
  <si>
    <t>Cpk</t>
  </si>
  <si>
    <t>X bar</t>
  </si>
  <si>
    <t xml:space="preserve"> UCL</t>
  </si>
  <si>
    <t>3. 전달의 측정값을 Xbar­R Charts 입력, 관리규격을 산출합니다.</t>
  </si>
  <si>
    <t xml:space="preserve"> CL</t>
  </si>
  <si>
    <t>관   리    규   격</t>
  </si>
  <si>
    <t>LCL</t>
  </si>
  <si>
    <t xml:space="preserve">Xbar </t>
  </si>
  <si>
    <t>UCL</t>
  </si>
  <si>
    <t>Xbar-R 관리도 상수</t>
  </si>
  <si>
    <t>[주의] Sample 수에 따라 달라집니다.</t>
  </si>
  <si>
    <t>CL</t>
  </si>
  <si>
    <t>n</t>
  </si>
  <si>
    <t>필히 Sample수 확인 후 A2, D3, D4 계수 값 입력하여야 합니다.</t>
  </si>
  <si>
    <t>A2</t>
  </si>
  <si>
    <r>
      <rPr>
        <rFont val="맑은 고딕"/>
        <b/>
        <color theme="1"/>
        <sz val="10.0"/>
      </rPr>
      <t>★</t>
    </r>
    <r>
      <rPr>
        <rFont val="굴림"/>
        <b/>
        <color theme="1"/>
        <sz val="10.0"/>
      </rPr>
      <t>Xbar관리도 관리한계 식</t>
    </r>
  </si>
  <si>
    <r>
      <rPr>
        <rFont val="맑은 고딕"/>
        <b/>
        <color theme="1"/>
        <sz val="10.0"/>
      </rPr>
      <t>★</t>
    </r>
    <r>
      <rPr>
        <rFont val="굴림"/>
        <b/>
        <color theme="1"/>
        <sz val="10.0"/>
      </rPr>
      <t>R관리도 관리한계 식</t>
    </r>
  </si>
  <si>
    <t>R</t>
  </si>
  <si>
    <t>D3</t>
  </si>
  <si>
    <t>D4</t>
  </si>
  <si>
    <t>4. 3에서 산출된 관리규격을 입력하여 이번 달의 관리규격을 설정합니다.</t>
  </si>
  <si>
    <t>▶관리 이상 조치 내용</t>
  </si>
  <si>
    <t>No</t>
  </si>
  <si>
    <t>발생일</t>
  </si>
  <si>
    <t>발생 원인</t>
  </si>
  <si>
    <t>조치 및 진행 사항</t>
  </si>
  <si>
    <t>조치일</t>
  </si>
  <si>
    <t>담당자</t>
  </si>
  <si>
    <t>유효성 검증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</si>
</sst>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0.000_ "/>
    <numFmt numFmtId="166" formatCode="mm&quot;월&quot;\ dd&quot;일&quot;"/>
    <numFmt numFmtId="167" formatCode="0.00_ "/>
    <numFmt numFmtId="168" formatCode="0.0_ "/>
    <numFmt numFmtId="169" formatCode="0_ "/>
  </numFmts>
  <fonts count="12">
    <font>
      <sz val="11.0"/>
      <color rgb="FF000000"/>
      <name val="Dotum"/>
      <scheme val="minor"/>
    </font>
    <font>
      <sz val="10.0"/>
      <color theme="1"/>
      <name val="Gulim"/>
    </font>
    <font>
      <b/>
      <sz val="24.0"/>
      <color theme="1"/>
      <name val="Gulim"/>
    </font>
    <font/>
    <font>
      <b/>
      <sz val="10.0"/>
      <color theme="1"/>
      <name val="Gulim"/>
    </font>
    <font>
      <b/>
      <sz val="14.0"/>
      <color theme="1"/>
      <name val="Gulim"/>
    </font>
    <font>
      <sz val="10.0"/>
      <color theme="0"/>
      <name val="Gulim"/>
    </font>
    <font>
      <b/>
      <sz val="13.0"/>
      <color theme="1"/>
      <name val="Dotum"/>
    </font>
    <font>
      <b/>
      <sz val="10.0"/>
      <color rgb="FF000000"/>
      <name val="Gulim"/>
    </font>
    <font>
      <sz val="10.0"/>
      <color rgb="FFFF0000"/>
      <name val="Gulim"/>
    </font>
    <font>
      <sz val="10.0"/>
      <color rgb="FF000000"/>
      <name val="Gulim"/>
    </font>
    <font>
      <sz val="10.0"/>
      <color rgb="FFFFFFFF"/>
      <name val="Gulim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0000"/>
        <bgColor rgb="FFFF0000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rgb="FFE5B8B7"/>
        <bgColor rgb="FFE5B8B7"/>
      </patternFill>
    </fill>
    <fill>
      <patternFill patternType="solid">
        <fgColor rgb="FFFFFFCC"/>
        <bgColor rgb="FFFFFFCC"/>
      </patternFill>
    </fill>
  </fills>
  <borders count="5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</border>
    <border>
      <right style="double">
        <color rgb="FF000000"/>
      </right>
      <top/>
    </border>
    <border>
      <left style="double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/>
      <top/>
      <bottom/>
    </border>
    <border>
      <top/>
    </border>
    <border>
      <right style="thin">
        <color rgb="FF000000"/>
      </right>
      <top/>
    </border>
    <border>
      <right style="double">
        <color rgb="FF000000"/>
      </right>
      <bottom style="medium">
        <color rgb="FF000000"/>
      </bottom>
    </border>
    <border>
      <left style="double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49" xfId="0" applyAlignment="1" applyBorder="1" applyFill="1" applyFont="1" applyNumberForma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6" fillId="0" fontId="4" numFmtId="164" xfId="0" applyAlignment="1" applyBorder="1" applyFont="1" applyNumberFormat="1">
      <alignment horizontal="center" shrinkToFit="0" vertical="center" wrapText="1"/>
    </xf>
    <xf borderId="7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0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4" numFmtId="0" xfId="0" applyAlignment="1" applyBorder="1" applyFont="1">
      <alignment horizontal="center" shrinkToFit="0" vertical="center" wrapText="1"/>
    </xf>
    <xf borderId="12" fillId="0" fontId="4" numFmtId="164" xfId="0" applyAlignment="1" applyBorder="1" applyFont="1" applyNumberFormat="1">
      <alignment horizontal="center" shrinkToFit="0" vertical="center" wrapText="1"/>
    </xf>
    <xf borderId="13" fillId="0" fontId="3" numFmtId="0" xfId="0" applyBorder="1" applyFont="1"/>
    <xf borderId="14" fillId="3" fontId="4" numFmtId="0" xfId="0" applyAlignment="1" applyBorder="1" applyFill="1" applyFont="1">
      <alignment horizontal="center" shrinkToFit="0" vertical="center" wrapText="0"/>
    </xf>
    <xf borderId="15" fillId="0" fontId="4" numFmtId="0" xfId="0" applyAlignment="1" applyBorder="1" applyFont="1">
      <alignment horizontal="center" shrinkToFit="0" vertical="center" wrapText="0"/>
    </xf>
    <xf borderId="16" fillId="0" fontId="3" numFmtId="0" xfId="0" applyBorder="1" applyFont="1"/>
    <xf borderId="15" fillId="3" fontId="4" numFmtId="0" xfId="0" applyAlignment="1" applyBorder="1" applyFill="1" applyFont="1">
      <alignment horizontal="center" shrinkToFit="0" vertical="center" wrapText="0"/>
    </xf>
    <xf borderId="15" fillId="0" fontId="4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5" fillId="3" fontId="4" numFmtId="0" xfId="0" applyAlignment="1" applyBorder="1" applyFill="1" applyFont="1">
      <alignment horizontal="center" shrinkToFit="0" vertical="center" wrapText="1"/>
    </xf>
    <xf borderId="15" fillId="0" fontId="4" numFmtId="165" xfId="0" applyAlignment="1" applyBorder="1" applyFont="1" applyNumberForma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  <xf borderId="5" fillId="3" fontId="4" numFmtId="0" xfId="0" applyAlignment="1" applyBorder="1" applyFill="1" applyFont="1">
      <alignment horizontal="center" shrinkToFit="0" vertical="center" wrapText="0"/>
    </xf>
    <xf borderId="18" fillId="0" fontId="1" numFmtId="49" xfId="0" applyAlignment="1" applyBorder="1" applyFont="1" applyNumberFormat="1">
      <alignment horizontal="center" shrinkToFit="0" vertical="center" wrapText="0"/>
    </xf>
    <xf borderId="19" fillId="0" fontId="1" numFmtId="49" xfId="0" applyAlignment="1" applyBorder="1" applyFont="1" applyNumberFormat="1">
      <alignment horizontal="center"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20" fillId="0" fontId="4" numFmtId="0" xfId="0" applyAlignment="1" applyBorder="1" applyFont="1">
      <alignment horizontal="center" shrinkToFit="0" vertical="center" wrapText="0"/>
    </xf>
    <xf borderId="21" fillId="4" fontId="4" numFmtId="0" xfId="0" applyAlignment="1" applyBorder="1" applyFill="1" applyFont="1">
      <alignment horizontal="center" shrinkToFit="0" vertical="center" wrapText="0"/>
    </xf>
    <xf borderId="15" fillId="2" fontId="4" numFmtId="0" xfId="0" applyAlignment="1" applyBorder="1" applyFill="1" applyFont="1">
      <alignment horizontal="center" shrinkToFit="0" vertical="center" wrapText="0"/>
    </xf>
    <xf borderId="22" fillId="3" fontId="4" numFmtId="0" xfId="0" applyAlignment="1" applyBorder="1" applyFill="1" applyFont="1">
      <alignment horizontal="center" shrinkToFit="0" vertical="center" wrapText="0"/>
    </xf>
    <xf borderId="23" fillId="0" fontId="6" numFmtId="0" xfId="0" applyAlignment="1" applyBorder="1" applyFont="1">
      <alignment horizontal="center" shrinkToFit="0" vertical="center" wrapText="0"/>
    </xf>
    <xf borderId="24" fillId="0" fontId="6" numFmtId="0" xfId="0" applyAlignment="1" applyBorder="1" applyFont="1">
      <alignment horizontal="center" shrinkToFit="0" vertical="center" wrapText="0"/>
    </xf>
    <xf borderId="25" fillId="0" fontId="3" numFmtId="0" xfId="0" applyBorder="1" applyFont="1"/>
    <xf borderId="26" fillId="3" fontId="4" numFmtId="20" xfId="0" applyAlignment="1" applyBorder="1" applyFill="1" applyFont="1" applyNumberFormat="1">
      <alignment horizontal="center" shrinkToFit="0" vertical="center" wrapText="0"/>
    </xf>
    <xf borderId="1" fillId="0" fontId="6" numFmtId="165" xfId="0" applyAlignment="1" applyBorder="1" applyFont="1" applyNumberFormat="1">
      <alignment horizontal="center" shrinkToFit="0" vertical="center" wrapText="0"/>
    </xf>
    <xf borderId="27" fillId="0" fontId="6" numFmtId="165" xfId="0" applyAlignment="1" applyBorder="1" applyFont="1" applyNumberFormat="1">
      <alignment horizontal="center" shrinkToFit="0" vertical="center" wrapText="0"/>
    </xf>
    <xf borderId="0" fillId="0" fontId="1" numFmtId="167" xfId="0" applyAlignment="1" applyFont="1" applyNumberFormat="1">
      <alignment horizontal="center" shrinkToFit="0" vertical="center" wrapText="0"/>
    </xf>
    <xf borderId="21" fillId="5" fontId="4" numFmtId="0" xfId="0" applyAlignment="1" applyBorder="1" applyFill="1" applyFont="1">
      <alignment horizontal="center" shrinkToFit="0" vertical="center" wrapText="0"/>
    </xf>
    <xf borderId="28" fillId="0" fontId="3" numFmtId="0" xfId="0" applyBorder="1" applyFont="1"/>
    <xf borderId="0" fillId="0" fontId="7" numFmtId="0" xfId="0" applyAlignment="1" applyFont="1">
      <alignment shrinkToFit="0" vertical="bottom" wrapText="0"/>
    </xf>
    <xf borderId="11" fillId="3" fontId="4" numFmtId="20" xfId="0" applyAlignment="1" applyBorder="1" applyFill="1" applyFont="1" applyNumberFormat="1">
      <alignment horizontal="center" shrinkToFit="0" vertical="center" wrapText="0"/>
    </xf>
    <xf borderId="29" fillId="0" fontId="6" numFmtId="165" xfId="0" applyAlignment="1" applyBorder="1" applyFont="1" applyNumberFormat="1">
      <alignment horizontal="center" shrinkToFit="0" vertical="center" wrapText="0"/>
    </xf>
    <xf borderId="30" fillId="0" fontId="6" numFmtId="165" xfId="0" applyAlignment="1" applyBorder="1" applyFont="1" applyNumberFormat="1">
      <alignment horizontal="center" shrinkToFit="0" vertical="center" wrapText="0"/>
    </xf>
    <xf borderId="18" fillId="0" fontId="6" numFmtId="165" xfId="0" applyAlignment="1" applyBorder="1" applyFont="1" applyNumberFormat="1">
      <alignment horizontal="center" shrinkToFit="0" vertical="center" wrapText="0"/>
    </xf>
    <xf borderId="19" fillId="0" fontId="6" numFmtId="165" xfId="0" applyAlignment="1" applyBorder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11" fillId="3" fontId="4" numFmtId="0" xfId="0" applyAlignment="1" applyBorder="1" applyFill="1" applyFont="1">
      <alignment horizontal="center" shrinkToFit="0" vertical="center" wrapText="0"/>
    </xf>
    <xf borderId="31" fillId="6" fontId="4" numFmtId="0" xfId="0" applyAlignment="1" applyBorder="1" applyFill="1" applyFont="1">
      <alignment horizontal="center" shrinkToFit="0" vertical="center" wrapText="1"/>
    </xf>
    <xf borderId="32" fillId="0" fontId="3" numFmtId="0" xfId="0" applyBorder="1" applyFont="1"/>
    <xf borderId="33" fillId="6" fontId="4" numFmtId="165" xfId="0" applyAlignment="1" applyBorder="1" applyFill="1" applyFont="1" applyNumberFormat="1">
      <alignment horizontal="center" shrinkToFit="0" vertical="center" wrapText="0"/>
    </xf>
    <xf borderId="34" fillId="0" fontId="3" numFmtId="0" xfId="0" applyBorder="1" applyFont="1"/>
    <xf borderId="35" fillId="0" fontId="3" numFmtId="0" xfId="0" applyBorder="1" applyFont="1"/>
    <xf borderId="36" fillId="6" fontId="4" numFmtId="165" xfId="0" applyAlignment="1" applyBorder="1" applyFill="1" applyFont="1" applyNumberFormat="1">
      <alignment horizontal="center" shrinkToFit="0" vertical="center" wrapText="0"/>
    </xf>
    <xf borderId="37" fillId="0" fontId="3" numFmtId="0" xfId="0" applyBorder="1" applyFont="1"/>
    <xf borderId="38" fillId="6" fontId="4" numFmtId="165" xfId="0" applyAlignment="1" applyBorder="1" applyFill="1" applyFont="1" applyNumberFormat="1">
      <alignment horizontal="center" shrinkToFit="0" vertical="center" wrapText="0"/>
    </xf>
    <xf borderId="31" fillId="7" fontId="4" numFmtId="165" xfId="0" applyAlignment="1" applyBorder="1" applyFill="1" applyFont="1" applyNumberFormat="1">
      <alignment horizontal="center" shrinkToFit="0" vertical="center" wrapText="1"/>
    </xf>
    <xf borderId="39" fillId="0" fontId="3" numFmtId="0" xfId="0" applyBorder="1" applyFont="1"/>
    <xf borderId="40" fillId="0" fontId="3" numFmtId="0" xfId="0" applyBorder="1" applyFont="1"/>
    <xf borderId="36" fillId="7" fontId="4" numFmtId="165" xfId="0" applyAlignment="1" applyBorder="1" applyFill="1" applyFont="1" applyNumberFormat="1">
      <alignment horizontal="center" shrinkToFit="0" vertical="center" wrapText="0"/>
    </xf>
    <xf borderId="38" fillId="8" fontId="4" numFmtId="165" xfId="0" applyAlignment="1" applyBorder="1" applyFill="1" applyFont="1" applyNumberFormat="1">
      <alignment horizontal="center" shrinkToFit="0" vertical="center" wrapText="0"/>
    </xf>
    <xf borderId="41" fillId="0" fontId="3" numFmtId="0" xfId="0" applyBorder="1" applyFont="1"/>
    <xf borderId="42" fillId="0" fontId="4" numFmtId="165" xfId="0" applyAlignment="1" applyBorder="1" applyFont="1" applyNumberFormat="1">
      <alignment horizontal="center" shrinkToFit="0" vertical="center" wrapText="0"/>
    </xf>
    <xf borderId="43" fillId="0" fontId="3" numFmtId="0" xfId="0" applyBorder="1" applyFont="1"/>
    <xf borderId="44" fillId="0" fontId="3" numFmtId="0" xfId="0" applyBorder="1" applyFont="1"/>
    <xf borderId="12" fillId="0" fontId="4" numFmtId="165" xfId="0" applyAlignment="1" applyBorder="1" applyFont="1" applyNumberFormat="1">
      <alignment horizontal="center" shrinkToFit="0" vertical="center" wrapText="0"/>
    </xf>
    <xf borderId="9" fillId="0" fontId="4" numFmtId="165" xfId="0" applyAlignment="1" applyBorder="1" applyFont="1" applyNumberFormat="1">
      <alignment horizontal="center" shrinkToFit="0" vertical="center" wrapText="0"/>
    </xf>
    <xf borderId="45" fillId="0" fontId="3" numFmtId="0" xfId="0" applyBorder="1" applyFont="1"/>
    <xf borderId="12" fillId="0" fontId="8" numFmtId="165" xfId="0" applyAlignment="1" applyBorder="1" applyFont="1" applyNumberFormat="1">
      <alignment horizontal="center" shrinkToFit="0" vertical="center" wrapText="0"/>
    </xf>
    <xf borderId="12" fillId="0" fontId="8" numFmtId="167" xfId="0" applyAlignment="1" applyBorder="1" applyFont="1" applyNumberFormat="1">
      <alignment horizontal="center" shrinkToFit="0" vertical="center" wrapText="0"/>
    </xf>
    <xf borderId="0" fillId="0" fontId="8" numFmtId="167" xfId="0" applyAlignment="1" applyFont="1" applyNumberFormat="1">
      <alignment horizontal="center" shrinkToFit="0" vertical="center" wrapText="0"/>
    </xf>
    <xf borderId="46" fillId="0" fontId="1" numFmtId="0" xfId="0" applyAlignment="1" applyBorder="1" applyFont="1">
      <alignment horizontal="center" shrinkToFit="0" vertical="center" wrapText="0"/>
    </xf>
    <xf borderId="0" fillId="0" fontId="9" numFmtId="165" xfId="0" applyAlignment="1" applyFont="1" applyNumberFormat="1">
      <alignment horizontal="center" shrinkToFit="0" vertical="center" wrapText="0"/>
    </xf>
    <xf borderId="47" fillId="0" fontId="1" numFmtId="0" xfId="0" applyAlignment="1" applyBorder="1" applyFont="1">
      <alignment horizontal="center" shrinkToFit="0" vertical="center" wrapText="0"/>
    </xf>
    <xf borderId="0" fillId="0" fontId="1" numFmtId="168" xfId="0" applyAlignment="1" applyFont="1" applyNumberFormat="1">
      <alignment horizontal="center" shrinkToFit="0" vertical="center" wrapText="0"/>
    </xf>
    <xf borderId="47" fillId="0" fontId="1" numFmtId="168" xfId="0" applyAlignment="1" applyBorder="1" applyFont="1" applyNumberFormat="1">
      <alignment horizontal="center" shrinkToFit="0" vertical="center" wrapText="0"/>
    </xf>
    <xf borderId="21" fillId="0" fontId="4" numFmtId="0" xfId="0" applyAlignment="1" applyBorder="1" applyFont="1">
      <alignment horizontal="center" shrinkToFit="0" vertical="center" wrapText="0"/>
    </xf>
    <xf borderId="21" fillId="0" fontId="4" numFmtId="165" xfId="0" applyAlignment="1" applyBorder="1" applyFont="1" applyNumberFormat="1">
      <alignment horizontal="center" shrinkToFit="0" vertical="center" wrapText="0"/>
    </xf>
    <xf borderId="0" fillId="0" fontId="10" numFmtId="168" xfId="0" applyAlignment="1" applyFont="1" applyNumberFormat="1">
      <alignment horizontal="center" shrinkToFit="0" vertical="center" wrapText="0"/>
    </xf>
    <xf borderId="47" fillId="0" fontId="10" numFmtId="168" xfId="0" applyAlignment="1" applyBorder="1" applyFont="1" applyNumberFormat="1">
      <alignment horizontal="center" shrinkToFit="0" vertical="center" wrapText="0"/>
    </xf>
    <xf borderId="21" fillId="0" fontId="4" numFmtId="169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47" fillId="0" fontId="10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0" fillId="0" fontId="10" numFmtId="165" xfId="0" applyAlignment="1" applyFont="1" applyNumberForma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21" fillId="2" fontId="4" numFmtId="165" xfId="0" applyAlignment="1" applyBorder="1" applyFill="1" applyFont="1" applyNumberFormat="1">
      <alignment horizontal="center" shrinkToFit="0" vertical="center" wrapText="0"/>
    </xf>
    <xf borderId="46" fillId="0" fontId="10" numFmtId="0" xfId="0" applyAlignment="1" applyBorder="1" applyFont="1">
      <alignment horizontal="center" shrinkToFit="0" vertical="center" wrapText="0"/>
    </xf>
    <xf borderId="46" fillId="0" fontId="8" numFmtId="0" xfId="0" applyAlignment="1" applyBorder="1" applyFont="1">
      <alignment horizontal="left"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48" fillId="0" fontId="3" numFmtId="0" xfId="0" applyBorder="1" applyFont="1"/>
    <xf borderId="49" fillId="0" fontId="3" numFmtId="0" xfId="0" applyBorder="1" applyFont="1"/>
    <xf borderId="0" fillId="0" fontId="4" numFmtId="0" xfId="0" applyAlignment="1" applyFont="1">
      <alignment horizontal="center" shrinkToFit="0" vertical="center" wrapText="0"/>
    </xf>
    <xf borderId="26" fillId="0" fontId="4" numFmtId="0" xfId="0" applyAlignment="1" applyBorder="1" applyFont="1">
      <alignment horizontal="center" shrinkToFit="0" vertical="center" wrapText="0"/>
    </xf>
    <xf borderId="50" fillId="0" fontId="4" numFmtId="0" xfId="0" applyAlignment="1" applyBorder="1" applyFont="1">
      <alignment horizontal="center" shrinkToFit="0" vertical="center" wrapText="0"/>
    </xf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11" fillId="0" fontId="4" numFmtId="0" xfId="0" applyAlignment="1" applyBorder="1" applyFont="1">
      <alignment horizontal="center" shrinkToFit="0" vertical="center" wrapText="0"/>
    </xf>
    <xf borderId="12" fillId="0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+mn-lt"/>
              </a:defRPr>
            </a:pPr>
            <a:r>
              <a:rPr b="1" i="0" sz="1800">
                <a:solidFill>
                  <a:srgbClr val="000000"/>
                </a:solidFill>
                <a:latin typeface="+mn-lt"/>
              </a:rPr>
              <a:t>X  bar 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'X-R 관리도'!$B$25</c:f>
            </c:strRef>
          </c:tx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'X-R 관리도'!$C$12:$Z$12</c:f>
            </c:strRef>
          </c:cat>
          <c:val>
            <c:numRef>
              <c:f>'X-R 관리도'!$C$25:$Z$25</c:f>
              <c:numCache/>
            </c:numRef>
          </c:val>
          <c:smooth val="0"/>
        </c:ser>
        <c:ser>
          <c:idx val="1"/>
          <c:order val="1"/>
          <c:tx>
            <c:strRef>
              <c:f>'X-R 관리도'!$B$26</c:f>
            </c:strRef>
          </c:tx>
          <c:spPr>
            <a:ln cmpd="sng" w="28575">
              <a:solidFill>
                <a:srgbClr val="0066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'X-R 관리도'!$C$12:$Z$12</c:f>
            </c:strRef>
          </c:cat>
          <c:val>
            <c:numRef>
              <c:f>'X-R 관리도'!$C$26:$Z$26</c:f>
              <c:numCache/>
            </c:numRef>
          </c:val>
          <c:smooth val="0"/>
        </c:ser>
        <c:ser>
          <c:idx val="2"/>
          <c:order val="2"/>
          <c:tx>
            <c:strRef>
              <c:f>'X-R 관리도'!$B$27</c:f>
            </c:strRef>
          </c:tx>
          <c:spPr>
            <a:ln cmpd="sng" w="28575">
              <a:solidFill>
                <a:srgbClr val="FF66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'X-R 관리도'!$C$12:$Z$12</c:f>
            </c:strRef>
          </c:cat>
          <c:val>
            <c:numRef>
              <c:f>'X-R 관리도'!$C$27:$Z$27</c:f>
              <c:numCache/>
            </c:numRef>
          </c:val>
          <c:smooth val="0"/>
        </c:ser>
        <c:ser>
          <c:idx val="3"/>
          <c:order val="3"/>
          <c:tx>
            <c:strRef>
              <c:f>'X-R 관리도'!$C$19</c:f>
            </c:strRef>
          </c:tx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'X-R 관리도'!$C$12:$Z$12</c:f>
            </c:strRef>
          </c:cat>
          <c:val>
            <c:numRef>
              <c:f>'X-R 관리도'!$D$19:$Z$19</c:f>
              <c:numCache/>
            </c:numRef>
          </c:val>
          <c:smooth val="0"/>
        </c:ser>
        <c:axId val="741864492"/>
        <c:axId val="1729954361"/>
      </c:lineChart>
      <c:catAx>
        <c:axId val="741864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9954361"/>
      </c:catAx>
      <c:valAx>
        <c:axId val="1729954361"/>
        <c:scaling>
          <c:orientation val="minMax"/>
          <c:max val="38.97"/>
          <c:min val="38.96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8644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+mn-lt"/>
              </a:defRPr>
            </a:pPr>
            <a:r>
              <a:rPr b="1" i="0" sz="1800">
                <a:solidFill>
                  <a:srgbClr val="000000"/>
                </a:solidFill>
                <a:latin typeface="+mn-lt"/>
              </a:rPr>
              <a:t>R 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'X-R 관리도'!$B$32</c:f>
            </c:strRef>
          </c:tx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'X-R 관리도'!$C$12:$Z$12</c:f>
            </c:strRef>
          </c:cat>
          <c:val>
            <c:numRef>
              <c:f>'X-R 관리도'!$C$32:$Z$32</c:f>
              <c:numCache/>
            </c:numRef>
          </c:val>
          <c:smooth val="0"/>
        </c:ser>
        <c:ser>
          <c:idx val="1"/>
          <c:order val="1"/>
          <c:tx>
            <c:strRef>
              <c:f>'X-R 관리도'!$B$33</c:f>
            </c:strRef>
          </c:tx>
          <c:spPr>
            <a:ln cmpd="sng" w="28575">
              <a:solidFill>
                <a:srgbClr val="0066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'X-R 관리도'!$C$12:$Z$12</c:f>
            </c:strRef>
          </c:cat>
          <c:val>
            <c:numRef>
              <c:f>'X-R 관리도'!$C$33:$Z$33</c:f>
              <c:numCache/>
            </c:numRef>
          </c:val>
          <c:smooth val="0"/>
        </c:ser>
        <c:ser>
          <c:idx val="2"/>
          <c:order val="2"/>
          <c:tx>
            <c:strRef>
              <c:f>'X-R 관리도'!$B$34</c:f>
            </c:strRef>
          </c:tx>
          <c:spPr>
            <a:ln cmpd="sng" w="28575">
              <a:solidFill>
                <a:srgbClr val="FF66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'X-R 관리도'!$C$12:$Z$12</c:f>
            </c:strRef>
          </c:cat>
          <c:val>
            <c:numRef>
              <c:f>'X-R 관리도'!$C$34:$Z$34</c:f>
              <c:numCache/>
            </c:numRef>
          </c:val>
          <c:smooth val="0"/>
        </c:ser>
        <c:ser>
          <c:idx val="3"/>
          <c:order val="3"/>
          <c:tx>
            <c:strRef>
              <c:f>'X-R 관리도'!$C$20</c:f>
            </c:strRef>
          </c:tx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'X-R 관리도'!$C$12:$Z$12</c:f>
            </c:strRef>
          </c:cat>
          <c:val>
            <c:numRef>
              <c:f>'X-R 관리도'!$D$20:$Z$20</c:f>
              <c:numCache/>
            </c:numRef>
          </c:val>
          <c:smooth val="0"/>
        </c:ser>
        <c:axId val="1882606715"/>
        <c:axId val="50136882"/>
      </c:lineChart>
      <c:catAx>
        <c:axId val="1882606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36882"/>
      </c:catAx>
      <c:valAx>
        <c:axId val="50136882"/>
        <c:scaling>
          <c:orientation val="minMax"/>
          <c:max val="0.011000000000000003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2606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3.jpg"/><Relationship Id="rId4" Type="http://schemas.openxmlformats.org/officeDocument/2006/relationships/image" Target="../media/image2.jp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22</xdr:row>
      <xdr:rowOff>28575</xdr:rowOff>
    </xdr:from>
    <xdr:ext cx="12915900" cy="2009775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38100</xdr:colOff>
      <xdr:row>30</xdr:row>
      <xdr:rowOff>114300</xdr:rowOff>
    </xdr:from>
    <xdr:ext cx="12934950" cy="2047875"/>
    <xdr:graphicFrame>
      <xdr:nvGraphicFramePr>
        <xdr:cNvPr descr="Chart 1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39</xdr:col>
      <xdr:colOff>342900</xdr:colOff>
      <xdr:row>29</xdr:row>
      <xdr:rowOff>0</xdr:rowOff>
    </xdr:from>
    <xdr:ext cx="819150" cy="733425"/>
    <xdr:pic>
      <xdr:nvPicPr>
        <xdr:cNvPr descr="1.jpg"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447675</xdr:colOff>
      <xdr:row>28</xdr:row>
      <xdr:rowOff>180975</xdr:rowOff>
    </xdr:from>
    <xdr:ext cx="685800" cy="742950"/>
    <xdr:pic>
      <xdr:nvPicPr>
        <xdr:cNvPr descr="2.jpg"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47625</xdr:colOff>
      <xdr:row>28</xdr:row>
      <xdr:rowOff>9525</xdr:rowOff>
    </xdr:from>
    <xdr:ext cx="1657350" cy="9144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FF"/>
    <pageSetUpPr/>
  </sheetPr>
  <sheetViews>
    <sheetView showGridLines="0" workbookViewId="0"/>
  </sheetViews>
  <sheetFormatPr customHeight="1" defaultColWidth="12.63" defaultRowHeight="15.0"/>
  <cols>
    <col customWidth="1" min="1" max="1" width="0.75"/>
    <col customWidth="1" min="2" max="2" width="8.75"/>
    <col customWidth="1" min="3" max="26" width="6.75"/>
    <col customWidth="1" min="27" max="27" width="0.5"/>
    <col customWidth="1" min="28" max="28" width="2.5"/>
    <col customWidth="1" min="29" max="31" width="7.63"/>
    <col customWidth="1" min="32" max="32" width="2.5"/>
    <col customWidth="1" min="33" max="34" width="8.88"/>
    <col customWidth="1" min="35" max="35" width="1.5"/>
    <col customWidth="1" min="36" max="38" width="8.88"/>
    <col customWidth="1" min="39" max="39" width="1.5"/>
    <col customWidth="1" min="40" max="41" width="8.88"/>
    <col customWidth="1" min="42" max="42" width="3.5"/>
    <col customWidth="1" min="43" max="44" width="8.88"/>
  </cols>
  <sheetData>
    <row r="1" ht="19.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19.5" customHeight="1">
      <c r="A2" s="1"/>
      <c r="B2" s="2" t="s">
        <v>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ht="19.5" customHeight="1">
      <c r="A3" s="1"/>
      <c r="B3" s="2">
        <v>38.0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ht="19.5" customHeight="1">
      <c r="A4" s="1"/>
      <c r="B4" s="2">
        <v>0.001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ht="19.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ht="19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ht="19.5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ht="19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ht="19.5" customHeight="1">
      <c r="A9" s="1"/>
      <c r="B9" s="4" t="inlineStr">
        <is>
          <t xml:space="preserve">X bar R Charts - </t>
        </is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/>
      <c r="X9" s="7" t="s">
        <v>27</v>
      </c>
      <c r="Y9" s="8">
        <v>41214.0</v>
      </c>
      <c r="Z9" s="9"/>
      <c r="AA9" s="10"/>
      <c r="AB9" s="1"/>
      <c r="AC9" s="11" t="s">
        <v>28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ht="19.5" customHeight="1">
      <c r="A10" s="1"/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5" t="s">
        <v>29</v>
      </c>
      <c r="Y10" s="16">
        <v>41241.0</v>
      </c>
      <c r="Z10" s="17"/>
      <c r="AA10" s="10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ht="19.5" customHeight="1">
      <c r="A11" s="1"/>
      <c r="B11" s="18" t="s">
        <v>30</v>
      </c>
      <c r="C11" s="19" t="s">
        <v>31</v>
      </c>
      <c r="D11" s="20"/>
      <c r="E11" s="21" t="s">
        <v>32</v>
      </c>
      <c r="F11" s="20"/>
      <c r="G11" s="22" t="inlineStr">
        <is>
          <t xml:space="preserve"/>
        </is>
      </c>
      <c r="H11" s="23"/>
      <c r="I11" s="23"/>
      <c r="J11" s="23"/>
      <c r="K11" s="21" t="s">
        <v>34</v>
      </c>
      <c r="L11" s="20"/>
      <c r="M11" s="19" t="inlineStr">
        <is>
          <t xml:space="preserve"/>
        </is>
      </c>
      <c r="N11" s="23"/>
      <c r="O11" s="23"/>
      <c r="P11" s="20"/>
      <c r="Q11" s="21" t="s">
        <v>36</v>
      </c>
      <c r="R11" s="20"/>
      <c r="S11" s="19" t="inlineStr">
        <is>
          <t xml:space="preserve"/>
        </is>
      </c>
      <c r="T11" s="23"/>
      <c r="U11" s="20"/>
      <c r="V11" s="24" t="s">
        <v>38</v>
      </c>
      <c r="W11" s="20"/>
      <c r="X11" s="25" t="inlineStr">
        <is>
          <t xml:space="preserve"/>
        </is>
      </c>
      <c r="Y11" s="23"/>
      <c r="Z11" s="20"/>
      <c r="AA11" s="26"/>
      <c r="AB11" s="1"/>
      <c r="AC11" s="27" t="s">
        <v>40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ht="19.5" customHeight="1">
      <c r="A12" s="1"/>
      <c r="B12" s="28" t="s">
        <v>0</v>
      </c>
      <c r="C12" s="29" t="str">
        <f t="shared" ref="C12:Z12" si="1">+C1</f>
        <v>11/1</v>
      </c>
      <c r="D12" s="29" t="str">
        <f t="shared" si="1"/>
        <v>11/2</v>
      </c>
      <c r="E12" s="29" t="str">
        <f t="shared" si="1"/>
        <v>11/3</v>
      </c>
      <c r="F12" s="29" t="str">
        <f t="shared" si="1"/>
        <v>11/5</v>
      </c>
      <c r="G12" s="29" t="str">
        <f t="shared" si="1"/>
        <v>11/6</v>
      </c>
      <c r="H12" s="29" t="str">
        <f t="shared" si="1"/>
        <v>11/7</v>
      </c>
      <c r="I12" s="29" t="str">
        <f t="shared" si="1"/>
        <v>11/8</v>
      </c>
      <c r="J12" s="29" t="str">
        <f t="shared" si="1"/>
        <v>11/9</v>
      </c>
      <c r="K12" s="29" t="str">
        <f t="shared" si="1"/>
        <v>11/10</v>
      </c>
      <c r="L12" s="29" t="str">
        <f t="shared" si="1"/>
        <v>11/12</v>
      </c>
      <c r="M12" s="29" t="str">
        <f t="shared" si="1"/>
        <v>11/13</v>
      </c>
      <c r="N12" s="29" t="str">
        <f t="shared" si="1"/>
        <v>11/14</v>
      </c>
      <c r="O12" s="29" t="str">
        <f t="shared" si="1"/>
        <v>11/15</v>
      </c>
      <c r="P12" s="29" t="str">
        <f t="shared" si="1"/>
        <v>11/16</v>
      </c>
      <c r="Q12" s="29" t="str">
        <f t="shared" si="1"/>
        <v>11/17</v>
      </c>
      <c r="R12" s="29" t="str">
        <f t="shared" si="1"/>
        <v>11/19</v>
      </c>
      <c r="S12" s="29" t="str">
        <f t="shared" si="1"/>
        <v>11/20</v>
      </c>
      <c r="T12" s="29" t="str">
        <f t="shared" si="1"/>
        <v>11/21</v>
      </c>
      <c r="U12" s="29" t="str">
        <f t="shared" si="1"/>
        <v>11/22</v>
      </c>
      <c r="V12" s="29" t="str">
        <f t="shared" si="1"/>
        <v>11/23</v>
      </c>
      <c r="W12" s="29" t="str">
        <f t="shared" si="1"/>
        <v>11/24</v>
      </c>
      <c r="X12" s="29" t="str">
        <f t="shared" si="1"/>
        <v>11/26</v>
      </c>
      <c r="Y12" s="29" t="str">
        <f t="shared" si="1"/>
        <v>11/27</v>
      </c>
      <c r="Z12" s="30" t="str">
        <f t="shared" si="1"/>
        <v>11/28</v>
      </c>
      <c r="AA12" s="31"/>
      <c r="AB12" s="32"/>
      <c r="AC12" s="33" t="s">
        <v>36</v>
      </c>
      <c r="AD12" s="34" t="s">
        <v>41</v>
      </c>
      <c r="AE12" s="35">
        <f>39-0.025</f>
        <v>38.975</v>
      </c>
      <c r="AF12" s="20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ht="19.5" customHeight="1">
      <c r="A13" s="1"/>
      <c r="B13" s="36" t="s">
        <v>25</v>
      </c>
      <c r="C13" s="37" t="str">
        <f t="shared" ref="C13:Z13" si="2">+C2</f>
        <v/>
      </c>
      <c r="D13" s="37" t="str">
        <f t="shared" si="2"/>
        <v/>
      </c>
      <c r="E13" s="37" t="str">
        <f t="shared" si="2"/>
        <v/>
      </c>
      <c r="F13" s="37" t="str">
        <f t="shared" si="2"/>
        <v/>
      </c>
      <c r="G13" s="37" t="str">
        <f t="shared" si="2"/>
        <v/>
      </c>
      <c r="H13" s="37" t="str">
        <f t="shared" si="2"/>
        <v/>
      </c>
      <c r="I13" s="37" t="str">
        <f t="shared" si="2"/>
        <v/>
      </c>
      <c r="J13" s="37" t="str">
        <f t="shared" si="2"/>
        <v/>
      </c>
      <c r="K13" s="37" t="str">
        <f t="shared" si="2"/>
        <v/>
      </c>
      <c r="L13" s="37" t="str">
        <f t="shared" si="2"/>
        <v/>
      </c>
      <c r="M13" s="37" t="str">
        <f t="shared" si="2"/>
        <v/>
      </c>
      <c r="N13" s="37" t="str">
        <f t="shared" si="2"/>
        <v/>
      </c>
      <c r="O13" s="37" t="str">
        <f t="shared" si="2"/>
        <v/>
      </c>
      <c r="P13" s="37" t="str">
        <f t="shared" si="2"/>
        <v/>
      </c>
      <c r="Q13" s="37" t="str">
        <f t="shared" si="2"/>
        <v/>
      </c>
      <c r="R13" s="37" t="str">
        <f t="shared" si="2"/>
        <v/>
      </c>
      <c r="S13" s="37" t="str">
        <f t="shared" si="2"/>
        <v/>
      </c>
      <c r="T13" s="37" t="str">
        <f t="shared" si="2"/>
        <v/>
      </c>
      <c r="U13" s="37" t="str">
        <f t="shared" si="2"/>
        <v/>
      </c>
      <c r="V13" s="37" t="str">
        <f t="shared" si="2"/>
        <v/>
      </c>
      <c r="W13" s="37" t="str">
        <f t="shared" si="2"/>
        <v/>
      </c>
      <c r="X13" s="37" t="str">
        <f t="shared" si="2"/>
        <v/>
      </c>
      <c r="Y13" s="37" t="str">
        <f t="shared" si="2"/>
        <v/>
      </c>
      <c r="Z13" s="38" t="str">
        <f t="shared" si="2"/>
        <v/>
      </c>
      <c r="AA13" s="31"/>
      <c r="AB13" s="1"/>
      <c r="AC13" s="39"/>
      <c r="AD13" s="34"/>
      <c r="AE13" s="19"/>
      <c r="AF13" s="20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ht="19.5" customHeight="1">
      <c r="A14" s="1"/>
      <c r="B14" s="40" t="s">
        <v>42</v>
      </c>
      <c r="C14" s="41">
        <f t="shared" ref="C14:Z14" si="3">+$B$3+C3*$B$4</f>
        <v>38</v>
      </c>
      <c r="D14" s="41">
        <f t="shared" si="3"/>
        <v>38</v>
      </c>
      <c r="E14" s="41">
        <f t="shared" si="3"/>
        <v>38</v>
      </c>
      <c r="F14" s="41">
        <f t="shared" si="3"/>
        <v>38</v>
      </c>
      <c r="G14" s="41">
        <f t="shared" si="3"/>
        <v>38</v>
      </c>
      <c r="H14" s="41">
        <f t="shared" si="3"/>
        <v>38</v>
      </c>
      <c r="I14" s="41">
        <f t="shared" si="3"/>
        <v>38</v>
      </c>
      <c r="J14" s="41">
        <f t="shared" si="3"/>
        <v>38</v>
      </c>
      <c r="K14" s="41">
        <f t="shared" si="3"/>
        <v>38</v>
      </c>
      <c r="L14" s="41">
        <f t="shared" si="3"/>
        <v>38</v>
      </c>
      <c r="M14" s="41">
        <f t="shared" si="3"/>
        <v>38</v>
      </c>
      <c r="N14" s="41">
        <f t="shared" si="3"/>
        <v>38</v>
      </c>
      <c r="O14" s="41">
        <f t="shared" si="3"/>
        <v>38</v>
      </c>
      <c r="P14" s="41">
        <f t="shared" si="3"/>
        <v>38</v>
      </c>
      <c r="Q14" s="41">
        <f t="shared" si="3"/>
        <v>38</v>
      </c>
      <c r="R14" s="41">
        <f t="shared" si="3"/>
        <v>38</v>
      </c>
      <c r="S14" s="41">
        <f t="shared" si="3"/>
        <v>38</v>
      </c>
      <c r="T14" s="41">
        <f t="shared" si="3"/>
        <v>38</v>
      </c>
      <c r="U14" s="41">
        <f t="shared" si="3"/>
        <v>38</v>
      </c>
      <c r="V14" s="41">
        <f t="shared" si="3"/>
        <v>38</v>
      </c>
      <c r="W14" s="41">
        <f t="shared" si="3"/>
        <v>38</v>
      </c>
      <c r="X14" s="41">
        <f t="shared" si="3"/>
        <v>38</v>
      </c>
      <c r="Y14" s="41">
        <f t="shared" si="3"/>
        <v>38</v>
      </c>
      <c r="Z14" s="42">
        <f t="shared" si="3"/>
        <v>38</v>
      </c>
      <c r="AA14" s="43"/>
      <c r="AB14" s="1"/>
      <c r="AC14" s="39"/>
      <c r="AD14" s="44" t="s">
        <v>43</v>
      </c>
      <c r="AE14" s="19">
        <f>+(AE12+AE15)/2</f>
        <v>38.965</v>
      </c>
      <c r="AF14" s="20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ht="19.5" customHeight="1">
      <c r="A15" s="1"/>
      <c r="B15" s="40" t="s">
        <v>44</v>
      </c>
      <c r="C15" s="41">
        <f t="shared" ref="C15:Z15" si="4">+$B$3+C4*$B$4</f>
        <v>38</v>
      </c>
      <c r="D15" s="41">
        <f t="shared" si="4"/>
        <v>38</v>
      </c>
      <c r="E15" s="41">
        <f t="shared" si="4"/>
        <v>38</v>
      </c>
      <c r="F15" s="41">
        <f t="shared" si="4"/>
        <v>38</v>
      </c>
      <c r="G15" s="41">
        <f t="shared" si="4"/>
        <v>38</v>
      </c>
      <c r="H15" s="41">
        <f t="shared" si="4"/>
        <v>38</v>
      </c>
      <c r="I15" s="41">
        <f t="shared" si="4"/>
        <v>38</v>
      </c>
      <c r="J15" s="41">
        <f t="shared" si="4"/>
        <v>38</v>
      </c>
      <c r="K15" s="41">
        <f t="shared" si="4"/>
        <v>38</v>
      </c>
      <c r="L15" s="41">
        <f t="shared" si="4"/>
        <v>38</v>
      </c>
      <c r="M15" s="41">
        <f t="shared" si="4"/>
        <v>38</v>
      </c>
      <c r="N15" s="41">
        <f t="shared" si="4"/>
        <v>38</v>
      </c>
      <c r="O15" s="41">
        <f t="shared" si="4"/>
        <v>38</v>
      </c>
      <c r="P15" s="41">
        <f t="shared" si="4"/>
        <v>38</v>
      </c>
      <c r="Q15" s="41">
        <f t="shared" si="4"/>
        <v>38</v>
      </c>
      <c r="R15" s="41">
        <f t="shared" si="4"/>
        <v>38</v>
      </c>
      <c r="S15" s="41">
        <f t="shared" si="4"/>
        <v>38</v>
      </c>
      <c r="T15" s="41">
        <f t="shared" si="4"/>
        <v>38</v>
      </c>
      <c r="U15" s="41">
        <f t="shared" si="4"/>
        <v>38</v>
      </c>
      <c r="V15" s="41">
        <f t="shared" si="4"/>
        <v>38</v>
      </c>
      <c r="W15" s="41">
        <f t="shared" si="4"/>
        <v>38</v>
      </c>
      <c r="X15" s="41">
        <f t="shared" si="4"/>
        <v>38</v>
      </c>
      <c r="Y15" s="41">
        <f t="shared" si="4"/>
        <v>38</v>
      </c>
      <c r="Z15" s="42">
        <f t="shared" si="4"/>
        <v>38</v>
      </c>
      <c r="AA15" s="43"/>
      <c r="AB15" s="1"/>
      <c r="AC15" s="45"/>
      <c r="AD15" s="34" t="s">
        <v>45</v>
      </c>
      <c r="AE15" s="35">
        <f>39-0.045</f>
        <v>38.955</v>
      </c>
      <c r="AF15" s="2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ht="19.5" customHeight="1">
      <c r="A16" s="1"/>
      <c r="B16" s="40" t="s">
        <v>46</v>
      </c>
      <c r="C16" s="41">
        <f t="shared" ref="C16:Z16" si="5">+$B$3+C5*$B$4</f>
        <v>38</v>
      </c>
      <c r="D16" s="41">
        <f t="shared" si="5"/>
        <v>38</v>
      </c>
      <c r="E16" s="41">
        <f t="shared" si="5"/>
        <v>38</v>
      </c>
      <c r="F16" s="41">
        <f t="shared" si="5"/>
        <v>38</v>
      </c>
      <c r="G16" s="41">
        <f t="shared" si="5"/>
        <v>38</v>
      </c>
      <c r="H16" s="41">
        <f t="shared" si="5"/>
        <v>38</v>
      </c>
      <c r="I16" s="41">
        <f t="shared" si="5"/>
        <v>38</v>
      </c>
      <c r="J16" s="41">
        <f t="shared" si="5"/>
        <v>38</v>
      </c>
      <c r="K16" s="41">
        <f t="shared" si="5"/>
        <v>38</v>
      </c>
      <c r="L16" s="41">
        <f t="shared" si="5"/>
        <v>38</v>
      </c>
      <c r="M16" s="41">
        <f t="shared" si="5"/>
        <v>38</v>
      </c>
      <c r="N16" s="41">
        <f t="shared" si="5"/>
        <v>38</v>
      </c>
      <c r="O16" s="41">
        <f t="shared" si="5"/>
        <v>38</v>
      </c>
      <c r="P16" s="41">
        <f t="shared" si="5"/>
        <v>38</v>
      </c>
      <c r="Q16" s="41">
        <f t="shared" si="5"/>
        <v>38</v>
      </c>
      <c r="R16" s="41">
        <f t="shared" si="5"/>
        <v>38</v>
      </c>
      <c r="S16" s="41">
        <f t="shared" si="5"/>
        <v>38</v>
      </c>
      <c r="T16" s="41">
        <f t="shared" si="5"/>
        <v>38</v>
      </c>
      <c r="U16" s="41">
        <f t="shared" si="5"/>
        <v>38</v>
      </c>
      <c r="V16" s="41">
        <f t="shared" si="5"/>
        <v>38</v>
      </c>
      <c r="W16" s="41">
        <f t="shared" si="5"/>
        <v>38</v>
      </c>
      <c r="X16" s="41">
        <f t="shared" si="5"/>
        <v>38</v>
      </c>
      <c r="Y16" s="41">
        <f t="shared" si="5"/>
        <v>38</v>
      </c>
      <c r="Z16" s="42">
        <f t="shared" si="5"/>
        <v>38</v>
      </c>
      <c r="AA16" s="43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ht="19.5" customHeight="1">
      <c r="A17" s="1"/>
      <c r="B17" s="40" t="s">
        <v>47</v>
      </c>
      <c r="C17" s="41">
        <f t="shared" ref="C17:Z17" si="6">+$B$3+C6*$B$4</f>
        <v>38</v>
      </c>
      <c r="D17" s="41">
        <f t="shared" si="6"/>
        <v>38</v>
      </c>
      <c r="E17" s="41">
        <f t="shared" si="6"/>
        <v>38</v>
      </c>
      <c r="F17" s="41">
        <f t="shared" si="6"/>
        <v>38</v>
      </c>
      <c r="G17" s="41">
        <f t="shared" si="6"/>
        <v>38</v>
      </c>
      <c r="H17" s="41">
        <f t="shared" si="6"/>
        <v>38</v>
      </c>
      <c r="I17" s="41">
        <f t="shared" si="6"/>
        <v>38</v>
      </c>
      <c r="J17" s="41">
        <f t="shared" si="6"/>
        <v>38</v>
      </c>
      <c r="K17" s="41">
        <f t="shared" si="6"/>
        <v>38</v>
      </c>
      <c r="L17" s="41">
        <f t="shared" si="6"/>
        <v>38</v>
      </c>
      <c r="M17" s="41">
        <f t="shared" si="6"/>
        <v>38</v>
      </c>
      <c r="N17" s="41">
        <f t="shared" si="6"/>
        <v>38</v>
      </c>
      <c r="O17" s="41">
        <f t="shared" si="6"/>
        <v>38</v>
      </c>
      <c r="P17" s="41">
        <f t="shared" si="6"/>
        <v>38</v>
      </c>
      <c r="Q17" s="41">
        <f t="shared" si="6"/>
        <v>38</v>
      </c>
      <c r="R17" s="41">
        <f t="shared" si="6"/>
        <v>38</v>
      </c>
      <c r="S17" s="41">
        <f t="shared" si="6"/>
        <v>38</v>
      </c>
      <c r="T17" s="41">
        <f t="shared" si="6"/>
        <v>38</v>
      </c>
      <c r="U17" s="41">
        <f t="shared" si="6"/>
        <v>38</v>
      </c>
      <c r="V17" s="41">
        <f t="shared" si="6"/>
        <v>38</v>
      </c>
      <c r="W17" s="41">
        <f t="shared" si="6"/>
        <v>38</v>
      </c>
      <c r="X17" s="41">
        <f t="shared" si="6"/>
        <v>38</v>
      </c>
      <c r="Y17" s="41">
        <f t="shared" si="6"/>
        <v>38</v>
      </c>
      <c r="Z17" s="42">
        <f t="shared" si="6"/>
        <v>38</v>
      </c>
      <c r="AA17" s="43"/>
      <c r="AB17" s="1"/>
      <c r="AC17" s="27" t="s">
        <v>48</v>
      </c>
      <c r="AD17" s="1"/>
      <c r="AE17" s="1"/>
      <c r="AF17" s="1"/>
      <c r="AG17" s="1"/>
      <c r="AH17" s="1"/>
      <c r="AI17" s="1"/>
      <c r="AJ17" s="1"/>
      <c r="AK17" s="46"/>
      <c r="AL17" s="1"/>
      <c r="AM17" s="1"/>
      <c r="AN17" s="1"/>
      <c r="AO17" s="1"/>
      <c r="AP17" s="1"/>
      <c r="AQ17" s="1"/>
      <c r="AR17" s="1"/>
    </row>
    <row r="18" ht="19.5" customHeight="1">
      <c r="A18" s="1"/>
      <c r="B18" s="47" t="s">
        <v>49</v>
      </c>
      <c r="C18" s="48">
        <f t="shared" ref="C18:Z18" si="7">+$B$3+C7*$B$4</f>
        <v>38</v>
      </c>
      <c r="D18" s="48">
        <f t="shared" si="7"/>
        <v>38</v>
      </c>
      <c r="E18" s="48">
        <f t="shared" si="7"/>
        <v>38</v>
      </c>
      <c r="F18" s="48">
        <f t="shared" si="7"/>
        <v>38</v>
      </c>
      <c r="G18" s="48">
        <f t="shared" si="7"/>
        <v>38</v>
      </c>
      <c r="H18" s="48">
        <f t="shared" si="7"/>
        <v>38</v>
      </c>
      <c r="I18" s="48">
        <f t="shared" si="7"/>
        <v>38</v>
      </c>
      <c r="J18" s="48">
        <f t="shared" si="7"/>
        <v>38</v>
      </c>
      <c r="K18" s="48">
        <f t="shared" si="7"/>
        <v>38</v>
      </c>
      <c r="L18" s="48">
        <f t="shared" si="7"/>
        <v>38</v>
      </c>
      <c r="M18" s="48">
        <f t="shared" si="7"/>
        <v>38</v>
      </c>
      <c r="N18" s="48">
        <f t="shared" si="7"/>
        <v>38</v>
      </c>
      <c r="O18" s="48">
        <f t="shared" si="7"/>
        <v>38</v>
      </c>
      <c r="P18" s="48">
        <f t="shared" si="7"/>
        <v>38</v>
      </c>
      <c r="Q18" s="48">
        <f t="shared" si="7"/>
        <v>38</v>
      </c>
      <c r="R18" s="48">
        <f t="shared" si="7"/>
        <v>38</v>
      </c>
      <c r="S18" s="48">
        <f t="shared" si="7"/>
        <v>38</v>
      </c>
      <c r="T18" s="48">
        <f t="shared" si="7"/>
        <v>38</v>
      </c>
      <c r="U18" s="48">
        <f t="shared" si="7"/>
        <v>38</v>
      </c>
      <c r="V18" s="48">
        <f t="shared" si="7"/>
        <v>38</v>
      </c>
      <c r="W18" s="48">
        <f t="shared" si="7"/>
        <v>38</v>
      </c>
      <c r="X18" s="48">
        <f t="shared" si="7"/>
        <v>38</v>
      </c>
      <c r="Y18" s="48">
        <f t="shared" si="7"/>
        <v>38</v>
      </c>
      <c r="Z18" s="49">
        <f t="shared" si="7"/>
        <v>38</v>
      </c>
      <c r="AA18" s="43"/>
      <c r="AB18" s="1"/>
      <c r="AC18" s="19" t="s">
        <v>50</v>
      </c>
      <c r="AD18" s="23"/>
      <c r="AE18" s="23"/>
      <c r="AF18" s="20"/>
      <c r="AG18" s="1"/>
      <c r="AH18" s="1"/>
      <c r="AI18" s="1"/>
      <c r="AJ18" s="1"/>
      <c r="AL18" s="1"/>
      <c r="AM18" s="1"/>
      <c r="AN18" s="1"/>
      <c r="AO18" s="1"/>
      <c r="AP18" s="1"/>
      <c r="AQ18" s="1"/>
      <c r="AR18" s="1"/>
    </row>
    <row r="19" ht="19.5" customHeight="1">
      <c r="A19" s="1"/>
      <c r="B19" s="28" t="s">
        <v>51</v>
      </c>
      <c r="C19" s="50">
        <f t="shared" ref="C19:Z19" si="8">IF(C14&lt;&gt;"",AVERAGE(C14:C18),"")</f>
        <v>38</v>
      </c>
      <c r="D19" s="50">
        <f t="shared" si="8"/>
        <v>38</v>
      </c>
      <c r="E19" s="50">
        <f t="shared" si="8"/>
        <v>38</v>
      </c>
      <c r="F19" s="50">
        <f t="shared" si="8"/>
        <v>38</v>
      </c>
      <c r="G19" s="50">
        <f t="shared" si="8"/>
        <v>38</v>
      </c>
      <c r="H19" s="50">
        <f t="shared" si="8"/>
        <v>38</v>
      </c>
      <c r="I19" s="50">
        <f t="shared" si="8"/>
        <v>38</v>
      </c>
      <c r="J19" s="50">
        <f t="shared" si="8"/>
        <v>38</v>
      </c>
      <c r="K19" s="50">
        <f t="shared" si="8"/>
        <v>38</v>
      </c>
      <c r="L19" s="50">
        <f t="shared" si="8"/>
        <v>38</v>
      </c>
      <c r="M19" s="50">
        <f t="shared" si="8"/>
        <v>38</v>
      </c>
      <c r="N19" s="50">
        <f t="shared" si="8"/>
        <v>38</v>
      </c>
      <c r="O19" s="50">
        <f t="shared" si="8"/>
        <v>38</v>
      </c>
      <c r="P19" s="50">
        <f t="shared" si="8"/>
        <v>38</v>
      </c>
      <c r="Q19" s="50">
        <f t="shared" si="8"/>
        <v>38</v>
      </c>
      <c r="R19" s="50">
        <f t="shared" si="8"/>
        <v>38</v>
      </c>
      <c r="S19" s="50">
        <f t="shared" si="8"/>
        <v>38</v>
      </c>
      <c r="T19" s="50">
        <f t="shared" si="8"/>
        <v>38</v>
      </c>
      <c r="U19" s="50">
        <f t="shared" si="8"/>
        <v>38</v>
      </c>
      <c r="V19" s="50">
        <f t="shared" si="8"/>
        <v>38</v>
      </c>
      <c r="W19" s="50">
        <f t="shared" si="8"/>
        <v>38</v>
      </c>
      <c r="X19" s="50">
        <f t="shared" si="8"/>
        <v>38</v>
      </c>
      <c r="Y19" s="50">
        <f t="shared" si="8"/>
        <v>38</v>
      </c>
      <c r="Z19" s="51">
        <f t="shared" si="8"/>
        <v>38</v>
      </c>
      <c r="AA19" s="52"/>
      <c r="AB19" s="1"/>
      <c r="AC19" s="19" t="s">
        <v>52</v>
      </c>
      <c r="AD19" s="20"/>
      <c r="AE19" s="25">
        <f>MAX(C14:Z18)</f>
        <v>38</v>
      </c>
      <c r="AF19" s="20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ht="19.5" customHeight="1">
      <c r="A20" s="1"/>
      <c r="B20" s="53" t="s">
        <v>53</v>
      </c>
      <c r="C20" s="48">
        <f t="shared" ref="C20:Z20" si="9">IF(C14&lt;&gt;"",MAX(C14:C18)-MIN(C14:C18),"")</f>
        <v>0</v>
      </c>
      <c r="D20" s="48">
        <f t="shared" si="9"/>
        <v>0</v>
      </c>
      <c r="E20" s="48">
        <f t="shared" si="9"/>
        <v>0</v>
      </c>
      <c r="F20" s="48">
        <f t="shared" si="9"/>
        <v>0</v>
      </c>
      <c r="G20" s="48">
        <f t="shared" si="9"/>
        <v>0</v>
      </c>
      <c r="H20" s="48">
        <f t="shared" si="9"/>
        <v>0</v>
      </c>
      <c r="I20" s="48">
        <f t="shared" si="9"/>
        <v>0</v>
      </c>
      <c r="J20" s="48">
        <f t="shared" si="9"/>
        <v>0</v>
      </c>
      <c r="K20" s="48">
        <f t="shared" si="9"/>
        <v>0</v>
      </c>
      <c r="L20" s="48">
        <f t="shared" si="9"/>
        <v>0</v>
      </c>
      <c r="M20" s="48">
        <f t="shared" si="9"/>
        <v>0</v>
      </c>
      <c r="N20" s="48">
        <f t="shared" si="9"/>
        <v>0</v>
      </c>
      <c r="O20" s="48">
        <f t="shared" si="9"/>
        <v>0</v>
      </c>
      <c r="P20" s="48">
        <f t="shared" si="9"/>
        <v>0</v>
      </c>
      <c r="Q20" s="48">
        <f t="shared" si="9"/>
        <v>0</v>
      </c>
      <c r="R20" s="48">
        <f t="shared" si="9"/>
        <v>0</v>
      </c>
      <c r="S20" s="48">
        <f t="shared" si="9"/>
        <v>0</v>
      </c>
      <c r="T20" s="48">
        <f t="shared" si="9"/>
        <v>0</v>
      </c>
      <c r="U20" s="48">
        <f t="shared" si="9"/>
        <v>0</v>
      </c>
      <c r="V20" s="48">
        <f t="shared" si="9"/>
        <v>0</v>
      </c>
      <c r="W20" s="48">
        <f t="shared" si="9"/>
        <v>0</v>
      </c>
      <c r="X20" s="48">
        <f t="shared" si="9"/>
        <v>0</v>
      </c>
      <c r="Y20" s="48">
        <f t="shared" si="9"/>
        <v>0</v>
      </c>
      <c r="Z20" s="49">
        <f t="shared" si="9"/>
        <v>0</v>
      </c>
      <c r="AA20" s="52"/>
      <c r="AB20" s="1"/>
      <c r="AC20" s="19" t="s">
        <v>54</v>
      </c>
      <c r="AD20" s="20"/>
      <c r="AE20" s="25">
        <f>MIN(C14:Z18)</f>
        <v>38</v>
      </c>
      <c r="AF20" s="20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ht="19.5" customHeight="1">
      <c r="A21" s="1"/>
      <c r="B21" s="54" t="s">
        <v>55</v>
      </c>
      <c r="C21" s="55"/>
      <c r="D21" s="56" t="s">
        <v>56</v>
      </c>
      <c r="E21" s="57"/>
      <c r="F21" s="58"/>
      <c r="G21" s="59" t="s">
        <v>57</v>
      </c>
      <c r="H21" s="57"/>
      <c r="I21" s="57"/>
      <c r="J21" s="58"/>
      <c r="K21" s="59" t="s">
        <v>58</v>
      </c>
      <c r="L21" s="57"/>
      <c r="M21" s="60"/>
      <c r="N21" s="61"/>
      <c r="O21" s="62" t="s">
        <v>59</v>
      </c>
      <c r="P21" s="63"/>
      <c r="Q21" s="64"/>
      <c r="R21" s="65" t="s">
        <v>56</v>
      </c>
      <c r="S21" s="57"/>
      <c r="T21" s="58"/>
      <c r="U21" s="65" t="s">
        <v>57</v>
      </c>
      <c r="V21" s="57"/>
      <c r="W21" s="58"/>
      <c r="X21" s="65" t="s">
        <v>58</v>
      </c>
      <c r="Y21" s="57"/>
      <c r="Z21" s="60"/>
      <c r="AA21" s="66"/>
      <c r="AB21" s="1"/>
      <c r="AC21" s="19" t="s">
        <v>60</v>
      </c>
      <c r="AD21" s="20"/>
      <c r="AE21" s="25">
        <f>AVERAGE(C14:Z18)</f>
        <v>38</v>
      </c>
      <c r="AF21" s="20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ht="19.5" customHeight="1">
      <c r="A22" s="1"/>
      <c r="B22" s="12"/>
      <c r="C22" s="67"/>
      <c r="D22" s="68">
        <f>+AE36</f>
        <v>38.96924268</v>
      </c>
      <c r="E22" s="69"/>
      <c r="F22" s="70"/>
      <c r="G22" s="71">
        <f>AE37</f>
        <v>38.96643636</v>
      </c>
      <c r="H22" s="69"/>
      <c r="I22" s="69"/>
      <c r="J22" s="70"/>
      <c r="K22" s="71">
        <f>+AE38</f>
        <v>38.96363005</v>
      </c>
      <c r="L22" s="69"/>
      <c r="M22" s="17"/>
      <c r="N22" s="72"/>
      <c r="O22" s="12"/>
      <c r="P22" s="13"/>
      <c r="Q22" s="73"/>
      <c r="R22" s="74">
        <f>AE39</f>
        <v>0.01028659091</v>
      </c>
      <c r="S22" s="69"/>
      <c r="T22" s="70"/>
      <c r="U22" s="74">
        <f>AE40</f>
        <v>0.004863636364</v>
      </c>
      <c r="V22" s="69"/>
      <c r="W22" s="70"/>
      <c r="X22" s="75">
        <f>AE41</f>
        <v>0</v>
      </c>
      <c r="Y22" s="69"/>
      <c r="Z22" s="17"/>
      <c r="AA22" s="76"/>
      <c r="AB22" s="1"/>
      <c r="AC22" s="19" t="s">
        <v>61</v>
      </c>
      <c r="AD22" s="20"/>
      <c r="AE22" s="25">
        <f>STDEV(C14:Z18)</f>
        <v>0</v>
      </c>
      <c r="AF22" s="20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ht="19.5" customHeight="1">
      <c r="A23" s="1"/>
      <c r="B23" s="77"/>
      <c r="C23" s="1"/>
      <c r="D23" s="1"/>
      <c r="E23" s="1"/>
      <c r="F23" s="78"/>
      <c r="G23" s="1"/>
      <c r="H23" s="1"/>
      <c r="I23" s="1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1"/>
      <c r="Y23" s="1"/>
      <c r="Z23" s="79"/>
      <c r="AA23" s="1"/>
      <c r="AB23" s="1"/>
      <c r="AC23" s="19" t="s">
        <v>62</v>
      </c>
      <c r="AD23" s="20"/>
      <c r="AE23" s="25" t="str">
        <f>MIN(((AE12-AE21)/(3*AE22)),((AE21-AE15)/(3*AE22)))</f>
        <v>#DIV/0!</v>
      </c>
      <c r="AF23" s="2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ht="19.5" customHeight="1">
      <c r="A24" s="1"/>
      <c r="B24" s="77" t="s">
        <v>63</v>
      </c>
      <c r="C24" s="1"/>
      <c r="D24" s="1"/>
      <c r="E24" s="1"/>
      <c r="F24" s="52"/>
      <c r="G24" s="1"/>
      <c r="H24" s="1"/>
      <c r="I24" s="1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1"/>
      <c r="Y24" s="1"/>
      <c r="Z24" s="79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ht="19.5" customHeight="1">
      <c r="A25" s="1"/>
      <c r="B25" s="77" t="s">
        <v>64</v>
      </c>
      <c r="C25" s="80">
        <f t="shared" ref="C25:Z25" si="10">$D$22</f>
        <v>38.96924268</v>
      </c>
      <c r="D25" s="80">
        <f t="shared" si="10"/>
        <v>38.96924268</v>
      </c>
      <c r="E25" s="80">
        <f t="shared" si="10"/>
        <v>38.96924268</v>
      </c>
      <c r="F25" s="80">
        <f t="shared" si="10"/>
        <v>38.96924268</v>
      </c>
      <c r="G25" s="80">
        <f t="shared" si="10"/>
        <v>38.96924268</v>
      </c>
      <c r="H25" s="80">
        <f t="shared" si="10"/>
        <v>38.96924268</v>
      </c>
      <c r="I25" s="80">
        <f t="shared" si="10"/>
        <v>38.96924268</v>
      </c>
      <c r="J25" s="80">
        <f t="shared" si="10"/>
        <v>38.96924268</v>
      </c>
      <c r="K25" s="80">
        <f t="shared" si="10"/>
        <v>38.96924268</v>
      </c>
      <c r="L25" s="80">
        <f t="shared" si="10"/>
        <v>38.96924268</v>
      </c>
      <c r="M25" s="80">
        <f t="shared" si="10"/>
        <v>38.96924268</v>
      </c>
      <c r="N25" s="80">
        <f t="shared" si="10"/>
        <v>38.96924268</v>
      </c>
      <c r="O25" s="80">
        <f t="shared" si="10"/>
        <v>38.96924268</v>
      </c>
      <c r="P25" s="80">
        <f t="shared" si="10"/>
        <v>38.96924268</v>
      </c>
      <c r="Q25" s="80">
        <f t="shared" si="10"/>
        <v>38.96924268</v>
      </c>
      <c r="R25" s="80">
        <f t="shared" si="10"/>
        <v>38.96924268</v>
      </c>
      <c r="S25" s="80">
        <f t="shared" si="10"/>
        <v>38.96924268</v>
      </c>
      <c r="T25" s="80">
        <f t="shared" si="10"/>
        <v>38.96924268</v>
      </c>
      <c r="U25" s="80">
        <f t="shared" si="10"/>
        <v>38.96924268</v>
      </c>
      <c r="V25" s="80">
        <f t="shared" si="10"/>
        <v>38.96924268</v>
      </c>
      <c r="W25" s="80">
        <f t="shared" si="10"/>
        <v>38.96924268</v>
      </c>
      <c r="X25" s="80">
        <f t="shared" si="10"/>
        <v>38.96924268</v>
      </c>
      <c r="Y25" s="80">
        <f t="shared" si="10"/>
        <v>38.96924268</v>
      </c>
      <c r="Z25" s="81">
        <f t="shared" si="10"/>
        <v>38.96924268</v>
      </c>
      <c r="AA25" s="80"/>
      <c r="AB25" s="1"/>
      <c r="AC25" s="27" t="s">
        <v>65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ht="19.5" customHeight="1">
      <c r="A26" s="1"/>
      <c r="B26" s="77" t="s">
        <v>66</v>
      </c>
      <c r="C26" s="80">
        <f t="shared" ref="C26:Z26" si="11">$G$22</f>
        <v>38.96643636</v>
      </c>
      <c r="D26" s="80">
        <f t="shared" si="11"/>
        <v>38.96643636</v>
      </c>
      <c r="E26" s="80">
        <f t="shared" si="11"/>
        <v>38.96643636</v>
      </c>
      <c r="F26" s="80">
        <f t="shared" si="11"/>
        <v>38.96643636</v>
      </c>
      <c r="G26" s="80">
        <f t="shared" si="11"/>
        <v>38.96643636</v>
      </c>
      <c r="H26" s="80">
        <f t="shared" si="11"/>
        <v>38.96643636</v>
      </c>
      <c r="I26" s="80">
        <f t="shared" si="11"/>
        <v>38.96643636</v>
      </c>
      <c r="J26" s="80">
        <f t="shared" si="11"/>
        <v>38.96643636</v>
      </c>
      <c r="K26" s="80">
        <f t="shared" si="11"/>
        <v>38.96643636</v>
      </c>
      <c r="L26" s="80">
        <f t="shared" si="11"/>
        <v>38.96643636</v>
      </c>
      <c r="M26" s="80">
        <f t="shared" si="11"/>
        <v>38.96643636</v>
      </c>
      <c r="N26" s="80">
        <f t="shared" si="11"/>
        <v>38.96643636</v>
      </c>
      <c r="O26" s="80">
        <f t="shared" si="11"/>
        <v>38.96643636</v>
      </c>
      <c r="P26" s="80">
        <f t="shared" si="11"/>
        <v>38.96643636</v>
      </c>
      <c r="Q26" s="80">
        <f t="shared" si="11"/>
        <v>38.96643636</v>
      </c>
      <c r="R26" s="80">
        <f t="shared" si="11"/>
        <v>38.96643636</v>
      </c>
      <c r="S26" s="80">
        <f t="shared" si="11"/>
        <v>38.96643636</v>
      </c>
      <c r="T26" s="80">
        <f t="shared" si="11"/>
        <v>38.96643636</v>
      </c>
      <c r="U26" s="80">
        <f t="shared" si="11"/>
        <v>38.96643636</v>
      </c>
      <c r="V26" s="80">
        <f t="shared" si="11"/>
        <v>38.96643636</v>
      </c>
      <c r="W26" s="80">
        <f t="shared" si="11"/>
        <v>38.96643636</v>
      </c>
      <c r="X26" s="80">
        <f t="shared" si="11"/>
        <v>38.96643636</v>
      </c>
      <c r="Y26" s="80">
        <f t="shared" si="11"/>
        <v>38.96643636</v>
      </c>
      <c r="Z26" s="81">
        <f t="shared" si="11"/>
        <v>38.96643636</v>
      </c>
      <c r="AA26" s="80"/>
      <c r="AB26" s="1"/>
      <c r="AC26" s="19" t="s">
        <v>67</v>
      </c>
      <c r="AD26" s="23"/>
      <c r="AE26" s="20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ht="19.5" customHeight="1">
      <c r="A27" s="1"/>
      <c r="B27" s="77" t="s">
        <v>68</v>
      </c>
      <c r="C27" s="80">
        <f t="shared" ref="C27:Z27" si="12">$K$22</f>
        <v>38.96363005</v>
      </c>
      <c r="D27" s="80">
        <f t="shared" si="12"/>
        <v>38.96363005</v>
      </c>
      <c r="E27" s="80">
        <f t="shared" si="12"/>
        <v>38.96363005</v>
      </c>
      <c r="F27" s="80">
        <f t="shared" si="12"/>
        <v>38.96363005</v>
      </c>
      <c r="G27" s="80">
        <f t="shared" si="12"/>
        <v>38.96363005</v>
      </c>
      <c r="H27" s="80">
        <f t="shared" si="12"/>
        <v>38.96363005</v>
      </c>
      <c r="I27" s="80">
        <f t="shared" si="12"/>
        <v>38.96363005</v>
      </c>
      <c r="J27" s="80">
        <f t="shared" si="12"/>
        <v>38.96363005</v>
      </c>
      <c r="K27" s="80">
        <f t="shared" si="12"/>
        <v>38.96363005</v>
      </c>
      <c r="L27" s="80">
        <f t="shared" si="12"/>
        <v>38.96363005</v>
      </c>
      <c r="M27" s="80">
        <f t="shared" si="12"/>
        <v>38.96363005</v>
      </c>
      <c r="N27" s="80">
        <f t="shared" si="12"/>
        <v>38.96363005</v>
      </c>
      <c r="O27" s="80">
        <f t="shared" si="12"/>
        <v>38.96363005</v>
      </c>
      <c r="P27" s="80">
        <f t="shared" si="12"/>
        <v>38.96363005</v>
      </c>
      <c r="Q27" s="80">
        <f t="shared" si="12"/>
        <v>38.96363005</v>
      </c>
      <c r="R27" s="80">
        <f t="shared" si="12"/>
        <v>38.96363005</v>
      </c>
      <c r="S27" s="80">
        <f t="shared" si="12"/>
        <v>38.96363005</v>
      </c>
      <c r="T27" s="80">
        <f t="shared" si="12"/>
        <v>38.96363005</v>
      </c>
      <c r="U27" s="80">
        <f t="shared" si="12"/>
        <v>38.96363005</v>
      </c>
      <c r="V27" s="80">
        <f t="shared" si="12"/>
        <v>38.96363005</v>
      </c>
      <c r="W27" s="80">
        <f t="shared" si="12"/>
        <v>38.96363005</v>
      </c>
      <c r="X27" s="80">
        <f t="shared" si="12"/>
        <v>38.96363005</v>
      </c>
      <c r="Y27" s="80">
        <f t="shared" si="12"/>
        <v>38.96363005</v>
      </c>
      <c r="Z27" s="81">
        <f t="shared" si="12"/>
        <v>38.96363005</v>
      </c>
      <c r="AA27" s="80"/>
      <c r="AB27" s="1"/>
      <c r="AC27" s="33" t="s">
        <v>69</v>
      </c>
      <c r="AD27" s="82" t="s">
        <v>70</v>
      </c>
      <c r="AE27" s="83">
        <f>AE21+(AH29*AE31)</f>
        <v>38</v>
      </c>
      <c r="AF27" s="1"/>
      <c r="AG27" s="27" t="s">
        <v>71</v>
      </c>
      <c r="AH27" s="1"/>
      <c r="AI27" s="1"/>
      <c r="AJ27" s="27" t="s">
        <v>72</v>
      </c>
      <c r="AK27" s="1"/>
      <c r="AL27" s="1"/>
      <c r="AM27" s="1"/>
      <c r="AN27" s="1"/>
      <c r="AO27" s="1"/>
      <c r="AP27" s="1"/>
      <c r="AQ27" s="1"/>
      <c r="AR27" s="1"/>
    </row>
    <row r="28" ht="19.5" customHeight="1">
      <c r="A28" s="1"/>
      <c r="B28" s="77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5"/>
      <c r="AA28" s="84"/>
      <c r="AB28" s="1"/>
      <c r="AC28" s="39"/>
      <c r="AD28" s="82" t="s">
        <v>73</v>
      </c>
      <c r="AE28" s="83">
        <f>AVERAGE(C19:Z19)</f>
        <v>38</v>
      </c>
      <c r="AF28" s="1"/>
      <c r="AG28" s="82" t="s">
        <v>74</v>
      </c>
      <c r="AH28" s="86">
        <v>5.0</v>
      </c>
      <c r="AI28" s="1"/>
      <c r="AJ28" s="27" t="s">
        <v>75</v>
      </c>
      <c r="AK28" s="1"/>
      <c r="AL28" s="1"/>
      <c r="AM28" s="1"/>
      <c r="AN28" s="1"/>
      <c r="AO28" s="1"/>
      <c r="AP28" s="1"/>
      <c r="AQ28" s="1"/>
      <c r="AR28" s="1"/>
    </row>
    <row r="29" ht="19.5" customHeight="1">
      <c r="A29" s="1"/>
      <c r="B29" s="7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8"/>
      <c r="AA29" s="87"/>
      <c r="AB29" s="1"/>
      <c r="AC29" s="45"/>
      <c r="AD29" s="82" t="s">
        <v>68</v>
      </c>
      <c r="AE29" s="83">
        <f>AE21-(AH29*AE31)</f>
        <v>38</v>
      </c>
      <c r="AF29" s="1"/>
      <c r="AG29" s="82" t="s">
        <v>76</v>
      </c>
      <c r="AH29" s="83">
        <v>0.577</v>
      </c>
      <c r="AI29" s="1"/>
      <c r="AJ29" s="1"/>
      <c r="AK29" s="1"/>
      <c r="AL29" s="1"/>
      <c r="AM29" s="1"/>
      <c r="AN29" s="89" t="s">
        <v>77</v>
      </c>
      <c r="AO29" s="90"/>
      <c r="AP29" s="90"/>
      <c r="AQ29" s="91" t="s">
        <v>78</v>
      </c>
      <c r="AR29" s="92"/>
    </row>
    <row r="30" ht="19.5" customHeight="1">
      <c r="A30" s="1"/>
      <c r="B30" s="77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88"/>
      <c r="AA30" s="87"/>
      <c r="AB30" s="1"/>
      <c r="AC30" s="33" t="s">
        <v>79</v>
      </c>
      <c r="AD30" s="82" t="s">
        <v>70</v>
      </c>
      <c r="AE30" s="83">
        <f>AE31*AH31</f>
        <v>0</v>
      </c>
      <c r="AF30" s="1"/>
      <c r="AG30" s="82" t="s">
        <v>80</v>
      </c>
      <c r="AH30" s="83">
        <v>0.0</v>
      </c>
      <c r="AI30" s="1"/>
      <c r="AJ30" s="1"/>
      <c r="AK30" s="1"/>
      <c r="AL30" s="1"/>
      <c r="AM30" s="1"/>
      <c r="AN30" s="77"/>
      <c r="AO30" s="1"/>
      <c r="AP30" s="1"/>
      <c r="AQ30" s="1"/>
      <c r="AR30" s="79"/>
    </row>
    <row r="31" ht="19.5" customHeight="1">
      <c r="A31" s="1"/>
      <c r="B31" s="77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88"/>
      <c r="AA31" s="87"/>
      <c r="AB31" s="1"/>
      <c r="AC31" s="39"/>
      <c r="AD31" s="82" t="s">
        <v>73</v>
      </c>
      <c r="AE31" s="83">
        <f>AVERAGE(C20:Z20)</f>
        <v>0</v>
      </c>
      <c r="AF31" s="1"/>
      <c r="AG31" s="82" t="s">
        <v>81</v>
      </c>
      <c r="AH31" s="83">
        <v>2.115</v>
      </c>
      <c r="AI31" s="1"/>
      <c r="AJ31" s="1"/>
      <c r="AK31" s="1"/>
      <c r="AL31" s="1"/>
      <c r="AM31" s="1"/>
      <c r="AN31" s="77"/>
      <c r="AO31" s="1"/>
      <c r="AP31" s="1"/>
      <c r="AQ31" s="1"/>
      <c r="AR31" s="79"/>
    </row>
    <row r="32" ht="19.5" customHeight="1">
      <c r="A32" s="1"/>
      <c r="B32" s="77" t="s">
        <v>64</v>
      </c>
      <c r="C32" s="84">
        <f t="shared" ref="C32:Z32" si="13">$R$22</f>
        <v>0.01028659091</v>
      </c>
      <c r="D32" s="84">
        <f t="shared" si="13"/>
        <v>0.01028659091</v>
      </c>
      <c r="E32" s="84">
        <f t="shared" si="13"/>
        <v>0.01028659091</v>
      </c>
      <c r="F32" s="84">
        <f t="shared" si="13"/>
        <v>0.01028659091</v>
      </c>
      <c r="G32" s="84">
        <f t="shared" si="13"/>
        <v>0.01028659091</v>
      </c>
      <c r="H32" s="84">
        <f t="shared" si="13"/>
        <v>0.01028659091</v>
      </c>
      <c r="I32" s="84">
        <f t="shared" si="13"/>
        <v>0.01028659091</v>
      </c>
      <c r="J32" s="84">
        <f t="shared" si="13"/>
        <v>0.01028659091</v>
      </c>
      <c r="K32" s="84">
        <f t="shared" si="13"/>
        <v>0.01028659091</v>
      </c>
      <c r="L32" s="84">
        <f t="shared" si="13"/>
        <v>0.01028659091</v>
      </c>
      <c r="M32" s="84">
        <f t="shared" si="13"/>
        <v>0.01028659091</v>
      </c>
      <c r="N32" s="84">
        <f t="shared" si="13"/>
        <v>0.01028659091</v>
      </c>
      <c r="O32" s="84">
        <f t="shared" si="13"/>
        <v>0.01028659091</v>
      </c>
      <c r="P32" s="84">
        <f t="shared" si="13"/>
        <v>0.01028659091</v>
      </c>
      <c r="Q32" s="84">
        <f t="shared" si="13"/>
        <v>0.01028659091</v>
      </c>
      <c r="R32" s="84">
        <f t="shared" si="13"/>
        <v>0.01028659091</v>
      </c>
      <c r="S32" s="84">
        <f t="shared" si="13"/>
        <v>0.01028659091</v>
      </c>
      <c r="T32" s="84">
        <f t="shared" si="13"/>
        <v>0.01028659091</v>
      </c>
      <c r="U32" s="84">
        <f t="shared" si="13"/>
        <v>0.01028659091</v>
      </c>
      <c r="V32" s="84">
        <f t="shared" si="13"/>
        <v>0.01028659091</v>
      </c>
      <c r="W32" s="84">
        <f t="shared" si="13"/>
        <v>0.01028659091</v>
      </c>
      <c r="X32" s="84">
        <f t="shared" si="13"/>
        <v>0.01028659091</v>
      </c>
      <c r="Y32" s="84">
        <f t="shared" si="13"/>
        <v>0.01028659091</v>
      </c>
      <c r="Z32" s="85">
        <f t="shared" si="13"/>
        <v>0.01028659091</v>
      </c>
      <c r="AA32" s="84"/>
      <c r="AB32" s="1"/>
      <c r="AC32" s="45"/>
      <c r="AD32" s="82" t="s">
        <v>68</v>
      </c>
      <c r="AE32" s="83">
        <f>AE31*AH30</f>
        <v>0</v>
      </c>
      <c r="AF32" s="1"/>
      <c r="AG32" s="1"/>
      <c r="AH32" s="1"/>
      <c r="AI32" s="1"/>
      <c r="AJ32" s="1"/>
      <c r="AK32" s="1"/>
      <c r="AL32" s="1"/>
      <c r="AM32" s="1"/>
      <c r="AN32" s="77"/>
      <c r="AO32" s="1"/>
      <c r="AP32" s="1"/>
      <c r="AQ32" s="1"/>
      <c r="AR32" s="79"/>
    </row>
    <row r="33" ht="19.5" customHeight="1">
      <c r="A33" s="1"/>
      <c r="B33" s="77" t="s">
        <v>66</v>
      </c>
      <c r="C33" s="84">
        <f t="shared" ref="C33:Z33" si="14">$U$22</f>
        <v>0.004863636364</v>
      </c>
      <c r="D33" s="84">
        <f t="shared" si="14"/>
        <v>0.004863636364</v>
      </c>
      <c r="E33" s="84">
        <f t="shared" si="14"/>
        <v>0.004863636364</v>
      </c>
      <c r="F33" s="84">
        <f t="shared" si="14"/>
        <v>0.004863636364</v>
      </c>
      <c r="G33" s="84">
        <f t="shared" si="14"/>
        <v>0.004863636364</v>
      </c>
      <c r="H33" s="84">
        <f t="shared" si="14"/>
        <v>0.004863636364</v>
      </c>
      <c r="I33" s="84">
        <f t="shared" si="14"/>
        <v>0.004863636364</v>
      </c>
      <c r="J33" s="84">
        <f t="shared" si="14"/>
        <v>0.004863636364</v>
      </c>
      <c r="K33" s="84">
        <f t="shared" si="14"/>
        <v>0.004863636364</v>
      </c>
      <c r="L33" s="84">
        <f t="shared" si="14"/>
        <v>0.004863636364</v>
      </c>
      <c r="M33" s="84">
        <f t="shared" si="14"/>
        <v>0.004863636364</v>
      </c>
      <c r="N33" s="84">
        <f t="shared" si="14"/>
        <v>0.004863636364</v>
      </c>
      <c r="O33" s="84">
        <f t="shared" si="14"/>
        <v>0.004863636364</v>
      </c>
      <c r="P33" s="84">
        <f t="shared" si="14"/>
        <v>0.004863636364</v>
      </c>
      <c r="Q33" s="84">
        <f t="shared" si="14"/>
        <v>0.004863636364</v>
      </c>
      <c r="R33" s="84">
        <f t="shared" si="14"/>
        <v>0.004863636364</v>
      </c>
      <c r="S33" s="84">
        <f t="shared" si="14"/>
        <v>0.004863636364</v>
      </c>
      <c r="T33" s="84">
        <f t="shared" si="14"/>
        <v>0.004863636364</v>
      </c>
      <c r="U33" s="84">
        <f t="shared" si="14"/>
        <v>0.004863636364</v>
      </c>
      <c r="V33" s="84">
        <f t="shared" si="14"/>
        <v>0.004863636364</v>
      </c>
      <c r="W33" s="84">
        <f t="shared" si="14"/>
        <v>0.004863636364</v>
      </c>
      <c r="X33" s="84">
        <f t="shared" si="14"/>
        <v>0.004863636364</v>
      </c>
      <c r="Y33" s="84">
        <f t="shared" si="14"/>
        <v>0.004863636364</v>
      </c>
      <c r="Z33" s="85">
        <f t="shared" si="14"/>
        <v>0.004863636364</v>
      </c>
      <c r="AA33" s="84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94"/>
      <c r="AO33" s="95"/>
      <c r="AP33" s="95"/>
      <c r="AQ33" s="95"/>
      <c r="AR33" s="96"/>
    </row>
    <row r="34" ht="19.5" customHeight="1">
      <c r="A34" s="1"/>
      <c r="B34" s="77" t="s">
        <v>68</v>
      </c>
      <c r="C34" s="84">
        <f t="shared" ref="C34:Z34" si="15">$X$22</f>
        <v>0</v>
      </c>
      <c r="D34" s="84">
        <f t="shared" si="15"/>
        <v>0</v>
      </c>
      <c r="E34" s="84">
        <f t="shared" si="15"/>
        <v>0</v>
      </c>
      <c r="F34" s="84">
        <f t="shared" si="15"/>
        <v>0</v>
      </c>
      <c r="G34" s="84">
        <f t="shared" si="15"/>
        <v>0</v>
      </c>
      <c r="H34" s="84">
        <f t="shared" si="15"/>
        <v>0</v>
      </c>
      <c r="I34" s="84">
        <f t="shared" si="15"/>
        <v>0</v>
      </c>
      <c r="J34" s="84">
        <f t="shared" si="15"/>
        <v>0</v>
      </c>
      <c r="K34" s="84">
        <f t="shared" si="15"/>
        <v>0</v>
      </c>
      <c r="L34" s="84">
        <f t="shared" si="15"/>
        <v>0</v>
      </c>
      <c r="M34" s="84">
        <f t="shared" si="15"/>
        <v>0</v>
      </c>
      <c r="N34" s="84">
        <f t="shared" si="15"/>
        <v>0</v>
      </c>
      <c r="O34" s="84">
        <f t="shared" si="15"/>
        <v>0</v>
      </c>
      <c r="P34" s="84">
        <f t="shared" si="15"/>
        <v>0</v>
      </c>
      <c r="Q34" s="84">
        <f t="shared" si="15"/>
        <v>0</v>
      </c>
      <c r="R34" s="84">
        <f t="shared" si="15"/>
        <v>0</v>
      </c>
      <c r="S34" s="84">
        <f t="shared" si="15"/>
        <v>0</v>
      </c>
      <c r="T34" s="84">
        <f t="shared" si="15"/>
        <v>0</v>
      </c>
      <c r="U34" s="84">
        <f t="shared" si="15"/>
        <v>0</v>
      </c>
      <c r="V34" s="84">
        <f t="shared" si="15"/>
        <v>0</v>
      </c>
      <c r="W34" s="84">
        <f t="shared" si="15"/>
        <v>0</v>
      </c>
      <c r="X34" s="84">
        <f t="shared" si="15"/>
        <v>0</v>
      </c>
      <c r="Y34" s="84">
        <f t="shared" si="15"/>
        <v>0</v>
      </c>
      <c r="Z34" s="85">
        <f t="shared" si="15"/>
        <v>0</v>
      </c>
      <c r="AA34" s="84"/>
      <c r="AB34" s="1"/>
      <c r="AC34" s="27" t="s">
        <v>82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9.5" customHeight="1">
      <c r="A35" s="1"/>
      <c r="B35" s="77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5"/>
      <c r="AA35" s="84"/>
      <c r="AB35" s="1"/>
      <c r="AC35" s="19" t="s">
        <v>67</v>
      </c>
      <c r="AD35" s="23"/>
      <c r="AE35" s="20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9.5" customHeight="1">
      <c r="A36" s="1"/>
      <c r="B36" s="7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7"/>
      <c r="S36" s="97"/>
      <c r="T36" s="1"/>
      <c r="U36" s="1"/>
      <c r="V36" s="1"/>
      <c r="W36" s="1"/>
      <c r="X36" s="1"/>
      <c r="Y36" s="1"/>
      <c r="Z36" s="79"/>
      <c r="AA36" s="1"/>
      <c r="AB36" s="1"/>
      <c r="AC36" s="33" t="s">
        <v>69</v>
      </c>
      <c r="AD36" s="82" t="s">
        <v>70</v>
      </c>
      <c r="AE36" s="98">
        <v>38.96924268181818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9.5" customHeight="1">
      <c r="A37" s="1"/>
      <c r="B37" s="7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7"/>
      <c r="S37" s="97"/>
      <c r="T37" s="1"/>
      <c r="U37" s="1"/>
      <c r="V37" s="1"/>
      <c r="W37" s="1"/>
      <c r="X37" s="1"/>
      <c r="Y37" s="1"/>
      <c r="Z37" s="79"/>
      <c r="AA37" s="1"/>
      <c r="AB37" s="1"/>
      <c r="AC37" s="39"/>
      <c r="AD37" s="82" t="s">
        <v>73</v>
      </c>
      <c r="AE37" s="98">
        <v>38.96643636363637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9.5" customHeight="1">
      <c r="A38" s="1"/>
      <c r="B38" s="99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1"/>
      <c r="S38" s="1"/>
      <c r="T38" s="1"/>
      <c r="U38" s="1"/>
      <c r="V38" s="1"/>
      <c r="W38" s="1"/>
      <c r="X38" s="1"/>
      <c r="Y38" s="1"/>
      <c r="Z38" s="79"/>
      <c r="AA38" s="1"/>
      <c r="AB38" s="1"/>
      <c r="AC38" s="45"/>
      <c r="AD38" s="82" t="s">
        <v>68</v>
      </c>
      <c r="AE38" s="98">
        <v>38.96363004545454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9.5" customHeight="1">
      <c r="A39" s="1"/>
      <c r="B39" s="99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1"/>
      <c r="S39" s="1"/>
      <c r="T39" s="1"/>
      <c r="U39" s="1"/>
      <c r="V39" s="1"/>
      <c r="W39" s="1"/>
      <c r="X39" s="1"/>
      <c r="Y39" s="1"/>
      <c r="Z39" s="79"/>
      <c r="AA39" s="1"/>
      <c r="AB39" s="1"/>
      <c r="AC39" s="33" t="s">
        <v>79</v>
      </c>
      <c r="AD39" s="82" t="s">
        <v>70</v>
      </c>
      <c r="AE39" s="98">
        <v>0.010286590909091528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9.5" customHeight="1">
      <c r="A40" s="1"/>
      <c r="B40" s="100" t="s">
        <v>83</v>
      </c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1"/>
      <c r="S40" s="1"/>
      <c r="T40" s="1"/>
      <c r="U40" s="1"/>
      <c r="V40" s="1"/>
      <c r="W40" s="1"/>
      <c r="X40" s="1"/>
      <c r="Y40" s="1"/>
      <c r="Z40" s="79"/>
      <c r="AA40" s="1"/>
      <c r="AB40" s="1"/>
      <c r="AC40" s="39"/>
      <c r="AD40" s="82" t="s">
        <v>73</v>
      </c>
      <c r="AE40" s="98">
        <v>0.004863636363636656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9.5" customHeight="1">
      <c r="A41" s="1"/>
      <c r="B41" s="101" t="s">
        <v>84</v>
      </c>
      <c r="C41" s="102" t="s">
        <v>85</v>
      </c>
      <c r="D41" s="103"/>
      <c r="E41" s="102" t="s">
        <v>86</v>
      </c>
      <c r="F41" s="104"/>
      <c r="G41" s="104"/>
      <c r="H41" s="104"/>
      <c r="I41" s="104"/>
      <c r="J41" s="103"/>
      <c r="K41" s="102" t="s">
        <v>87</v>
      </c>
      <c r="L41" s="104"/>
      <c r="M41" s="104"/>
      <c r="N41" s="104"/>
      <c r="O41" s="104"/>
      <c r="P41" s="104"/>
      <c r="Q41" s="104"/>
      <c r="R41" s="103"/>
      <c r="S41" s="102" t="s">
        <v>88</v>
      </c>
      <c r="T41" s="103"/>
      <c r="U41" s="102" t="s">
        <v>89</v>
      </c>
      <c r="V41" s="103"/>
      <c r="W41" s="102" t="s">
        <v>90</v>
      </c>
      <c r="X41" s="104"/>
      <c r="Y41" s="104"/>
      <c r="Z41" s="9"/>
      <c r="AA41" s="105"/>
      <c r="AB41" s="1"/>
      <c r="AC41" s="45"/>
      <c r="AD41" s="82" t="s">
        <v>68</v>
      </c>
      <c r="AE41" s="98">
        <v>0.0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9.5" customHeight="1">
      <c r="A42" s="1"/>
      <c r="B42" s="106"/>
      <c r="C42" s="107"/>
      <c r="D42" s="108"/>
      <c r="E42" s="107"/>
      <c r="F42" s="109"/>
      <c r="G42" s="109"/>
      <c r="H42" s="109"/>
      <c r="I42" s="109"/>
      <c r="J42" s="108"/>
      <c r="K42" s="107"/>
      <c r="L42" s="109"/>
      <c r="M42" s="109"/>
      <c r="N42" s="109"/>
      <c r="O42" s="109"/>
      <c r="P42" s="109"/>
      <c r="Q42" s="109"/>
      <c r="R42" s="108"/>
      <c r="S42" s="107"/>
      <c r="T42" s="108"/>
      <c r="U42" s="107"/>
      <c r="V42" s="108"/>
      <c r="W42" s="107"/>
      <c r="X42" s="109"/>
      <c r="Y42" s="109"/>
      <c r="Z42" s="110"/>
      <c r="AA42" s="105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9.5" customHeight="1">
      <c r="A43" s="1"/>
      <c r="B43" s="106"/>
      <c r="C43" s="107"/>
      <c r="D43" s="108"/>
      <c r="E43" s="107"/>
      <c r="F43" s="109"/>
      <c r="G43" s="109"/>
      <c r="H43" s="109"/>
      <c r="I43" s="109"/>
      <c r="J43" s="108"/>
      <c r="K43" s="107"/>
      <c r="L43" s="109"/>
      <c r="M43" s="109"/>
      <c r="N43" s="109"/>
      <c r="O43" s="109"/>
      <c r="P43" s="109"/>
      <c r="Q43" s="109"/>
      <c r="R43" s="108"/>
      <c r="S43" s="107"/>
      <c r="T43" s="108"/>
      <c r="U43" s="107"/>
      <c r="V43" s="108"/>
      <c r="W43" s="107"/>
      <c r="X43" s="109"/>
      <c r="Y43" s="109"/>
      <c r="Z43" s="110"/>
      <c r="AA43" s="105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9.5" customHeight="1">
      <c r="A44" s="1"/>
      <c r="B44" s="111"/>
      <c r="C44" s="112"/>
      <c r="D44" s="70"/>
      <c r="E44" s="112"/>
      <c r="F44" s="69"/>
      <c r="G44" s="69"/>
      <c r="H44" s="69"/>
      <c r="I44" s="69"/>
      <c r="J44" s="70"/>
      <c r="K44" s="112"/>
      <c r="L44" s="69"/>
      <c r="M44" s="69"/>
      <c r="N44" s="69"/>
      <c r="O44" s="69"/>
      <c r="P44" s="69"/>
      <c r="Q44" s="69"/>
      <c r="R44" s="70"/>
      <c r="S44" s="112"/>
      <c r="T44" s="70"/>
      <c r="U44" s="112"/>
      <c r="V44" s="70"/>
      <c r="W44" s="112"/>
      <c r="X44" s="69"/>
      <c r="Y44" s="69"/>
      <c r="Z44" s="17"/>
      <c r="AA44" s="105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73">
    <mergeCell ref="B21:C22"/>
    <mergeCell ref="C41:D41"/>
    <mergeCell ref="E41:J41"/>
    <mergeCell ref="K41:R41"/>
    <mergeCell ref="S41:T41"/>
    <mergeCell ref="U41:V41"/>
    <mergeCell ref="W41:Z41"/>
    <mergeCell ref="E43:J43"/>
    <mergeCell ref="K43:R43"/>
    <mergeCell ref="C44:D44"/>
    <mergeCell ref="E44:J44"/>
    <mergeCell ref="K44:R44"/>
    <mergeCell ref="S43:T43"/>
    <mergeCell ref="U43:V43"/>
    <mergeCell ref="S44:T44"/>
    <mergeCell ref="U44:V44"/>
    <mergeCell ref="W44:Z44"/>
    <mergeCell ref="C42:D42"/>
    <mergeCell ref="E42:J42"/>
    <mergeCell ref="K42:R42"/>
    <mergeCell ref="S42:T42"/>
    <mergeCell ref="U42:V42"/>
    <mergeCell ref="W42:Z42"/>
    <mergeCell ref="C43:D43"/>
    <mergeCell ref="W43:Z43"/>
    <mergeCell ref="B9:W10"/>
    <mergeCell ref="Y9:Z9"/>
    <mergeCell ref="Y10:Z10"/>
    <mergeCell ref="C11:D11"/>
    <mergeCell ref="E11:F11"/>
    <mergeCell ref="G11:J11"/>
    <mergeCell ref="K11:L11"/>
    <mergeCell ref="X11:Z11"/>
    <mergeCell ref="S11:U11"/>
    <mergeCell ref="V11:W11"/>
    <mergeCell ref="AC12:AC15"/>
    <mergeCell ref="AE12:AF12"/>
    <mergeCell ref="AE13:AF13"/>
    <mergeCell ref="AE14:AF14"/>
    <mergeCell ref="AK17:AK18"/>
    <mergeCell ref="R21:T21"/>
    <mergeCell ref="U21:W21"/>
    <mergeCell ref="X21:Z21"/>
    <mergeCell ref="AC21:AD21"/>
    <mergeCell ref="AE21:AF21"/>
    <mergeCell ref="D22:F22"/>
    <mergeCell ref="G22:J22"/>
    <mergeCell ref="R22:T22"/>
    <mergeCell ref="U22:W22"/>
    <mergeCell ref="X22:Z22"/>
    <mergeCell ref="AC22:AD22"/>
    <mergeCell ref="AE22:AF22"/>
    <mergeCell ref="AC23:AD23"/>
    <mergeCell ref="AC26:AE26"/>
    <mergeCell ref="AC27:AC29"/>
    <mergeCell ref="AC30:AC32"/>
    <mergeCell ref="AC35:AE35"/>
    <mergeCell ref="AC36:AC38"/>
    <mergeCell ref="AC39:AC41"/>
    <mergeCell ref="AE15:AF15"/>
    <mergeCell ref="AC18:AF18"/>
    <mergeCell ref="AC19:AD19"/>
    <mergeCell ref="AE19:AF19"/>
    <mergeCell ref="AC20:AD20"/>
    <mergeCell ref="AE20:AF20"/>
    <mergeCell ref="AE23:AF23"/>
    <mergeCell ref="M11:P11"/>
    <mergeCell ref="Q11:R11"/>
    <mergeCell ref="D21:F21"/>
    <mergeCell ref="G21:J21"/>
    <mergeCell ref="K21:M21"/>
    <mergeCell ref="O21:Q22"/>
    <mergeCell ref="K22:M22"/>
  </mergeCells>
  <printOptions/>
  <pageMargins bottom="0.75" footer="0.0" header="0.0" left="0.7" right="0.7" top="0.75"/>
  <pageSetup orientation="landscape"/>
  <drawing r:id="rId1"/>
</worksheet>
</file>