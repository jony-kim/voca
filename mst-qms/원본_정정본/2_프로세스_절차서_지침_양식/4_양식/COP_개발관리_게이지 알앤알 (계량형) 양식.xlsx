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8">
      <text>
        <t xml:space="preserve">Contribution(%) : 기여도값은 측정 시스템이 샘플링된 제품들 간의 차이를 규명하는데 충분한 능력을 가지고 있는지를 나타낸다.</t>
      </text>
    </comment>
    <comment authorId="0" ref="F28">
      <text>
        <t xml:space="preserve">측정 시스템이 해당 공정 능력을 측정 하는데 충분히 적절한가를 나타낸다.</t>
      </text>
    </comment>
  </commentList>
</comments>
</file>

<file path=xl/sharedStrings.xml><?xml version="1.0" encoding="utf-8"?>
<sst xmlns="http://schemas.openxmlformats.org/spreadsheetml/2006/main" count="125" uniqueCount="96">
  <si>
    <t>Rp 계산</t>
  </si>
  <si>
    <t>계량형 Gage R&amp;R 분석 시트</t>
  </si>
  <si>
    <t>파트이름</t>
  </si>
  <si>
    <t>파트번호</t>
  </si>
  <si>
    <t>스펙상한치</t>
  </si>
  <si>
    <t>스펙하한치</t>
  </si>
  <si>
    <t>작업자수</t>
  </si>
  <si>
    <r>
      <rPr>
        <rFont val="Arial"/>
        <b/>
        <color theme="0"/>
        <sz val="10.0"/>
      </rPr>
      <t>K</t>
    </r>
    <r>
      <rPr>
        <rFont val="Arial"/>
        <b/>
        <color rgb="FFFFFFFF"/>
        <sz val="10.0"/>
        <vertAlign val="subscript"/>
      </rPr>
      <t>2</t>
    </r>
  </si>
  <si>
    <t>게이지 종류</t>
  </si>
  <si>
    <t>내외측 V/C</t>
  </si>
  <si>
    <t>샘플수</t>
  </si>
  <si>
    <t>측정자수</t>
  </si>
  <si>
    <t>측정횟수</t>
  </si>
  <si>
    <t>게이지번호</t>
  </si>
  <si>
    <t>툴/캐비티 번호</t>
  </si>
  <si>
    <r>
      <rPr>
        <rFont val="Arial"/>
        <b/>
        <color theme="0"/>
        <sz val="10.0"/>
      </rPr>
      <t>K</t>
    </r>
    <r>
      <rPr>
        <rFont val="Arial"/>
        <b/>
        <color rgb="FFFFFFFF"/>
        <sz val="7.0"/>
      </rPr>
      <t>1</t>
    </r>
  </si>
  <si>
    <t>작업자</t>
  </si>
  <si>
    <t>Operator1</t>
  </si>
  <si>
    <t>Operator2</t>
  </si>
  <si>
    <t>Operator3</t>
  </si>
  <si>
    <t>Part 
average</t>
  </si>
  <si>
    <t>Trial#</t>
  </si>
  <si>
    <t>X</t>
  </si>
  <si>
    <t>R</t>
  </si>
  <si>
    <t>Samples</t>
  </si>
  <si>
    <t>제품개수</t>
  </si>
  <si>
    <r>
      <rPr>
        <rFont val="Arial"/>
        <b/>
        <color theme="0"/>
        <sz val="10.0"/>
      </rPr>
      <t>K</t>
    </r>
    <r>
      <rPr>
        <rFont val="Arial"/>
        <b val="0"/>
        <color rgb="FFFFFFFF"/>
        <sz val="7.0"/>
      </rPr>
      <t>3</t>
    </r>
  </si>
  <si>
    <t>App.</t>
  </si>
  <si>
    <t>X-barbar 계산 table</t>
  </si>
  <si>
    <t>X-diff 계산 table</t>
  </si>
  <si>
    <t>R-barbar 계산 table</t>
  </si>
  <si>
    <t>Subgroup</t>
  </si>
  <si>
    <t>A2</t>
  </si>
  <si>
    <t>D3</t>
  </si>
  <si>
    <t>D4</t>
  </si>
  <si>
    <r>
      <rPr>
        <rFont val="Malgun Gothic"/>
        <b/>
        <color theme="1"/>
        <sz val="10.0"/>
      </rPr>
      <t>X</t>
    </r>
    <r>
      <rPr>
        <rFont val="맑은 고딕"/>
        <b/>
        <color theme="1"/>
        <sz val="8.0"/>
      </rPr>
      <t>diff</t>
    </r>
    <r>
      <rPr>
        <rFont val="맑은 고딕"/>
        <b/>
        <color theme="1"/>
        <sz val="10.0"/>
      </rPr>
      <t xml:space="preserve">  =</t>
    </r>
  </si>
  <si>
    <t xml:space="preserve">R      = </t>
  </si>
  <si>
    <t>구별되는 범주의 수 =</t>
  </si>
  <si>
    <t>X      =</t>
  </si>
  <si>
    <t>게이지 R&amp;R 연구</t>
  </si>
  <si>
    <t>Contribution(%)</t>
  </si>
  <si>
    <t>Tolerance(%)</t>
  </si>
  <si>
    <t>합격수준</t>
  </si>
  <si>
    <t>판정</t>
  </si>
  <si>
    <r>
      <rPr>
        <rFont val="Malgun Gothic"/>
        <b/>
        <color theme="1"/>
        <sz val="10.0"/>
      </rPr>
      <t>R</t>
    </r>
    <r>
      <rPr>
        <rFont val="맑은 고딕"/>
        <b/>
        <color theme="1"/>
        <sz val="8.0"/>
      </rPr>
      <t>p</t>
    </r>
    <r>
      <rPr>
        <rFont val="맑은 고딕"/>
        <b/>
        <color theme="1"/>
        <sz val="10.0"/>
      </rPr>
      <t xml:space="preserve">     =</t>
    </r>
  </si>
  <si>
    <t>반복성(Repeatability)-EV</t>
  </si>
  <si>
    <t>20%이하</t>
  </si>
  <si>
    <t>재현성(Reproducibility)-AV</t>
  </si>
  <si>
    <r>
      <rPr>
        <rFont val="Arial"/>
        <b/>
        <color theme="0"/>
        <sz val="9.0"/>
      </rPr>
      <t>ANOVA Table (</t>
    </r>
    <r>
      <rPr>
        <rFont val="돋움"/>
        <b/>
        <color rgb="FFFFFFFF"/>
        <sz val="9.0"/>
      </rPr>
      <t>작업자</t>
    </r>
    <r>
      <rPr>
        <rFont val="Arial"/>
        <b/>
        <color rgb="FFFFFFFF"/>
        <sz val="9.0"/>
      </rPr>
      <t>*</t>
    </r>
    <r>
      <rPr>
        <rFont val="돋움"/>
        <b/>
        <color rgb="FFFFFFFF"/>
        <sz val="9.0"/>
      </rPr>
      <t>샘플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교호작용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유의할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때</t>
    </r>
    <r>
      <rPr>
        <rFont val="Arial"/>
        <b/>
        <color rgb="FFFFFFFF"/>
        <sz val="9.0"/>
      </rPr>
      <t>)</t>
    </r>
  </si>
  <si>
    <t>반복성 및 재현성(R&amp;R)</t>
  </si>
  <si>
    <t>30%이하</t>
  </si>
  <si>
    <t>SS</t>
  </si>
  <si>
    <t>DF</t>
  </si>
  <si>
    <t>MS</t>
  </si>
  <si>
    <t>Fdist</t>
  </si>
  <si>
    <t>P-value</t>
  </si>
  <si>
    <t>시료변동(Part Variation)-PV</t>
  </si>
  <si>
    <t>Parts</t>
  </si>
  <si>
    <t>CF(수정항)=</t>
  </si>
  <si>
    <t>파트 합</t>
  </si>
  <si>
    <t>측정 합(측정회차별)</t>
  </si>
  <si>
    <t>총변동-TV</t>
  </si>
  <si>
    <t>Operators</t>
  </si>
  <si>
    <r>
      <rPr>
        <rFont val="Dotumche"/>
        <color theme="0"/>
        <sz val="9.0"/>
      </rPr>
      <t>S</t>
    </r>
    <r>
      <rPr>
        <rFont val="돋움체"/>
        <color rgb="FFFFFFFF"/>
        <sz val="7.0"/>
      </rPr>
      <t>AB</t>
    </r>
    <r>
      <rPr>
        <rFont val="돋움체"/>
        <color rgb="FFFFFFFF"/>
        <sz val="9.0"/>
      </rPr>
      <t xml:space="preserve"> = </t>
    </r>
  </si>
  <si>
    <t>Operators*Parts</t>
  </si>
  <si>
    <r>
      <rPr>
        <rFont val="돋움"/>
        <color rgb="FFFFFFFF"/>
        <sz val="9.0"/>
      </rPr>
      <t>오차항</t>
    </r>
    <r>
      <rPr>
        <rFont val="Arial"/>
        <color rgb="FFFFFFFF"/>
        <sz val="9.0"/>
      </rPr>
      <t>(Repeatability)</t>
    </r>
  </si>
  <si>
    <t>Total</t>
  </si>
  <si>
    <r>
      <rPr>
        <rFont val="Arial"/>
        <b/>
        <color theme="0"/>
        <sz val="9.0"/>
      </rPr>
      <t>Gauge R&amp;R Analysis (</t>
    </r>
    <r>
      <rPr>
        <rFont val="돋움"/>
        <b/>
        <color rgb="FFFFFFFF"/>
        <sz val="9.0"/>
      </rPr>
      <t>작업자</t>
    </r>
    <r>
      <rPr>
        <rFont val="Arial"/>
        <b/>
        <color rgb="FFFFFFFF"/>
        <sz val="9.0"/>
      </rPr>
      <t>*</t>
    </r>
    <r>
      <rPr>
        <rFont val="돋움"/>
        <b/>
        <color rgb="FFFFFFFF"/>
        <sz val="9.0"/>
      </rPr>
      <t>샘플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교호작용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유의할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때</t>
    </r>
    <r>
      <rPr>
        <rFont val="Arial"/>
        <b/>
        <color rgb="FFFFFFFF"/>
        <sz val="9.0"/>
      </rPr>
      <t>)</t>
    </r>
  </si>
  <si>
    <r>
      <rPr>
        <rFont val="돋움체"/>
        <color rgb="FFFFFFFF"/>
        <sz val="9.0"/>
      </rPr>
      <t>분산성분</t>
    </r>
  </si>
  <si>
    <t>SD</t>
  </si>
  <si>
    <t>%Contribution</t>
  </si>
  <si>
    <t>%Tolerance</t>
  </si>
  <si>
    <t>Repeatability</t>
  </si>
  <si>
    <t>Reproducibility</t>
  </si>
  <si>
    <t>Appraisers</t>
  </si>
  <si>
    <t>Appraisers*Samples</t>
  </si>
  <si>
    <t>측정치총합</t>
  </si>
  <si>
    <t>Part to Part</t>
  </si>
  <si>
    <t>R&amp;R</t>
  </si>
  <si>
    <r>
      <rPr>
        <rFont val="돋움"/>
        <color rgb="FFFFFFFF"/>
        <sz val="9.0"/>
      </rPr>
      <t>구별되는</t>
    </r>
    <r>
      <rPr>
        <rFont val="Arial"/>
        <color rgb="FFFFFFFF"/>
        <sz val="9.0"/>
      </rPr>
      <t xml:space="preserve"> </t>
    </r>
    <r>
      <rPr>
        <rFont val="돋움"/>
        <color rgb="FFFFFFFF"/>
        <sz val="9.0"/>
      </rPr>
      <t>범주의</t>
    </r>
    <r>
      <rPr>
        <rFont val="Arial"/>
        <color rgb="FFFFFFFF"/>
        <sz val="9.0"/>
      </rPr>
      <t xml:space="preserve"> </t>
    </r>
    <r>
      <rPr>
        <rFont val="돋움"/>
        <color rgb="FFFFFFFF"/>
        <sz val="9.0"/>
      </rPr>
      <t>수</t>
    </r>
    <r>
      <rPr>
        <rFont val="Arial"/>
        <color rgb="FFFFFFFF"/>
        <sz val="9.0"/>
      </rPr>
      <t xml:space="preserve"> =</t>
    </r>
  </si>
  <si>
    <r>
      <rPr>
        <rFont val="Arial"/>
        <b/>
        <color theme="0"/>
        <sz val="9.0"/>
      </rPr>
      <t>ANOVA Table (</t>
    </r>
    <r>
      <rPr>
        <rFont val="돋움"/>
        <b/>
        <color rgb="FFFFFFFF"/>
        <sz val="9.0"/>
      </rPr>
      <t>작업자</t>
    </r>
    <r>
      <rPr>
        <rFont val="Arial"/>
        <b/>
        <color rgb="FFFFFFFF"/>
        <sz val="9.0"/>
      </rPr>
      <t>*</t>
    </r>
    <r>
      <rPr>
        <rFont val="돋움"/>
        <b/>
        <color rgb="FFFFFFFF"/>
        <sz val="9.0"/>
      </rPr>
      <t>샘플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교호작용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유의하지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않을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때</t>
    </r>
    <r>
      <rPr>
        <rFont val="Arial"/>
        <b/>
        <color rgb="FFFFFFFF"/>
        <sz val="9.0"/>
      </rPr>
      <t xml:space="preserve">, </t>
    </r>
    <r>
      <rPr>
        <rFont val="돋움"/>
        <b/>
        <color rgb="FFFFFFFF"/>
        <sz val="9.0"/>
      </rPr>
      <t>교호작용을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오차항과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풀링한다</t>
    </r>
    <r>
      <rPr>
        <rFont val="Arial"/>
        <b/>
        <color rgb="FFFFFFFF"/>
        <sz val="9.0"/>
      </rPr>
      <t>)</t>
    </r>
  </si>
  <si>
    <r>
      <rPr>
        <rFont val="돋움"/>
        <color rgb="FFFFFFFF"/>
        <sz val="9.0"/>
      </rPr>
      <t>오차항</t>
    </r>
    <r>
      <rPr>
        <rFont val="Arial"/>
        <color rgb="FFFFFFFF"/>
        <sz val="9.0"/>
      </rPr>
      <t>(Repeatability)</t>
    </r>
  </si>
  <si>
    <t xml:space="preserve"> Total</t>
  </si>
  <si>
    <r>
      <rPr>
        <rFont val="Arial"/>
        <b/>
        <color theme="0"/>
        <sz val="9.0"/>
      </rPr>
      <t>Gauge R&amp;R Analysis (</t>
    </r>
    <r>
      <rPr>
        <rFont val="돋움"/>
        <b/>
        <color rgb="FFFFFFFF"/>
        <sz val="9.0"/>
      </rPr>
      <t>작업자</t>
    </r>
    <r>
      <rPr>
        <rFont val="Arial"/>
        <b/>
        <color rgb="FFFFFFFF"/>
        <sz val="9.0"/>
      </rPr>
      <t>*</t>
    </r>
    <r>
      <rPr>
        <rFont val="돋움"/>
        <b/>
        <color rgb="FFFFFFFF"/>
        <sz val="9.0"/>
      </rPr>
      <t>샘플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교호작용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유의하지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않을때</t>
    </r>
    <r>
      <rPr>
        <rFont val="Arial"/>
        <b/>
        <color rgb="FFFFFFFF"/>
        <sz val="9.0"/>
      </rPr>
      <t xml:space="preserve">, </t>
    </r>
    <r>
      <rPr>
        <rFont val="돋움"/>
        <b/>
        <color rgb="FFFFFFFF"/>
        <sz val="9.0"/>
      </rPr>
      <t>교호작용을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오차항과</t>
    </r>
    <r>
      <rPr>
        <rFont val="Arial"/>
        <b/>
        <color rgb="FFFFFFFF"/>
        <sz val="9.0"/>
      </rPr>
      <t xml:space="preserve"> </t>
    </r>
    <r>
      <rPr>
        <rFont val="돋움"/>
        <b/>
        <color rgb="FFFFFFFF"/>
        <sz val="9.0"/>
      </rPr>
      <t>풀링한다</t>
    </r>
    <r>
      <rPr>
        <rFont val="Arial"/>
        <b/>
        <color rgb="FFFFFFFF"/>
        <sz val="9.0"/>
      </rPr>
      <t>)</t>
    </r>
  </si>
  <si>
    <r>
      <rPr>
        <rFont val="돋움체"/>
        <color rgb="FFFFFFFF"/>
        <sz val="9.0"/>
      </rPr>
      <t>분산성분</t>
    </r>
  </si>
  <si>
    <t>Xbar chart</t>
  </si>
  <si>
    <t>R chart</t>
  </si>
  <si>
    <t>Operator</t>
  </si>
  <si>
    <t>x bar</t>
  </si>
  <si>
    <t>X barbar</t>
  </si>
  <si>
    <t>CL</t>
  </si>
  <si>
    <t>UCL</t>
  </si>
  <si>
    <t>LCL</t>
  </si>
  <si>
    <t>R bar</t>
  </si>
  <si>
    <t>R barbar</t>
  </si>
  <si>
    <r>
      <rPr>
        <rFont val="돋움"/>
        <color rgb="FFFFFFFF"/>
        <sz val="9.0"/>
      </rPr>
      <t>구별되는</t>
    </r>
    <r>
      <rPr>
        <rFont val="Arial"/>
        <color rgb="FFFFFFFF"/>
        <sz val="9.0"/>
      </rPr>
      <t xml:space="preserve"> </t>
    </r>
    <r>
      <rPr>
        <rFont val="돋움"/>
        <color rgb="FFFFFFFF"/>
        <sz val="9.0"/>
      </rPr>
      <t>범주의</t>
    </r>
    <r>
      <rPr>
        <rFont val="Arial"/>
        <color rgb="FFFFFFFF"/>
        <sz val="9.0"/>
      </rPr>
      <t xml:space="preserve"> </t>
    </r>
    <r>
      <rPr>
        <rFont val="돋움"/>
        <color rgb="FFFFFFFF"/>
        <sz val="9.0"/>
      </rPr>
      <t>수</t>
    </r>
    <r>
      <rPr>
        <rFont val="Arial"/>
        <color rgb="FFFFFFFF"/>
        <sz val="9.0"/>
      </rPr>
      <t xml:space="preserve"> =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</si>
</sst>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_ "/>
    <numFmt numFmtId="165" formatCode="0.000"/>
    <numFmt numFmtId="166" formatCode="0.000_);[Red]\(0.000\)"/>
    <numFmt numFmtId="167" formatCode="0.00000_ "/>
    <numFmt numFmtId="168" formatCode="0_ "/>
    <numFmt numFmtId="169" formatCode="0_);[Red]\(0\)"/>
    <numFmt numFmtId="170" formatCode="0.0000_);[Red]\(0.0000\)"/>
  </numFmts>
  <fonts count="37">
    <font>
      <sz val="12.0"/>
      <color rgb="FF000000"/>
      <name val="Times New Roman"/>
      <scheme val="minor"/>
    </font>
    <font>
      <sz val="12.0"/>
      <color theme="1"/>
      <name val="Times New Roman"/>
    </font>
    <font>
      <sz val="12.0"/>
      <color theme="0"/>
      <name val="Times New Roman"/>
    </font>
    <font>
      <sz val="11.0"/>
      <color theme="1"/>
      <name val="Malgun Gothic"/>
    </font>
    <font>
      <sz val="11.0"/>
      <color theme="0"/>
      <name val="Malgun Gothic"/>
    </font>
    <font>
      <sz val="10.0"/>
      <color theme="0"/>
      <name val="Malgun Gothic"/>
    </font>
    <font/>
    <font>
      <b/>
      <sz val="15.0"/>
      <color theme="1"/>
      <name val="Malgun Gothic"/>
    </font>
    <font>
      <b/>
      <sz val="13.0"/>
      <color theme="1"/>
      <name val="Malgun Gothic"/>
    </font>
    <font>
      <b/>
      <sz val="11.0"/>
      <color theme="1"/>
      <name val="Malgun Gothic"/>
    </font>
    <font>
      <b/>
      <sz val="10.0"/>
      <color theme="0"/>
      <name val="Dotum"/>
    </font>
    <font>
      <b/>
      <sz val="10.0"/>
      <color theme="0"/>
      <name val="Arial"/>
    </font>
    <font>
      <sz val="10.0"/>
      <color theme="0"/>
      <name val="Arial"/>
    </font>
    <font>
      <b/>
      <sz val="11.0"/>
      <color rgb="FFFF0000"/>
      <name val="Malgun Gothic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Times New Roman"/>
    </font>
    <font>
      <sz val="9.0"/>
      <color theme="0"/>
      <name val="Dotumche"/>
    </font>
    <font>
      <b/>
      <sz val="10.0"/>
      <color rgb="FFFF0000"/>
      <name val="Malgun Gothic"/>
    </font>
    <font>
      <sz val="9.0"/>
      <color theme="0"/>
      <name val="Dotum"/>
    </font>
    <font>
      <b/>
      <sz val="9.0"/>
      <color theme="1"/>
      <name val="Malgun Gothic"/>
    </font>
    <font>
      <b/>
      <sz val="8.0"/>
      <color theme="1"/>
      <name val="Malgun Gothic"/>
    </font>
    <font>
      <b/>
      <sz val="9.0"/>
      <color theme="0"/>
      <name val="Arial"/>
    </font>
    <font>
      <sz val="9.0"/>
      <color theme="0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0"/>
      <name val="Arial"/>
    </font>
    <font>
      <sz val="10.0"/>
      <color theme="1"/>
      <name val="Times New Roman"/>
    </font>
    <font>
      <sz val="9.0"/>
      <color rgb="FFFFFFFF"/>
      <name val="Arial"/>
    </font>
    <font>
      <sz val="12.0"/>
      <color theme="1"/>
      <name val="Malgun Gothic"/>
    </font>
    <font>
      <sz val="9.0"/>
      <color rgb="FF000000"/>
      <name val="Dotumche"/>
    </font>
    <font>
      <sz val="9.0"/>
      <color rgb="FF000000"/>
      <name val="Dotum"/>
    </font>
    <font>
      <sz val="9.0"/>
      <color theme="1"/>
      <name val="Times New Roman"/>
    </font>
    <font>
      <sz val="9.0"/>
      <color rgb="FF000000"/>
      <name val="Malgun Gothic"/>
    </font>
    <font>
      <sz val="9.0"/>
      <color theme="1"/>
      <name val="Malgun Gothic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</fills>
  <borders count="69">
    <border/>
    <border>
      <left/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/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1" fillId="2" fontId="9" numFmtId="0" xfId="0" applyAlignment="1" applyBorder="1" applyFill="1" applyFont="1">
      <alignment shrinkToFit="0" vertical="bottom" wrapText="0"/>
    </xf>
    <xf borderId="4" fillId="3" fontId="9" numFmtId="0" xfId="0" applyAlignment="1" applyBorder="1" applyFill="1" applyFont="1">
      <alignment horizontal="right" shrinkToFit="0" vertical="bottom" wrapText="0"/>
    </xf>
    <xf borderId="5" fillId="0" fontId="6" numFmtId="0" xfId="0" applyBorder="1" applyFont="1"/>
    <xf borderId="6" fillId="4" fontId="3" numFmtId="0" xfId="0" applyAlignment="1" applyBorder="1" applyFill="1" applyFont="1">
      <alignment horizontal="center" shrinkToFit="0" vertical="bottom" wrapText="0"/>
    </xf>
    <xf borderId="7" fillId="0" fontId="6" numFmtId="0" xfId="0" applyBorder="1" applyFont="1"/>
    <xf borderId="8" fillId="0" fontId="5" numFmtId="0" xfId="0" applyAlignment="1" applyBorder="1" applyFon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9" fillId="3" fontId="9" numFmtId="0" xfId="0" applyAlignment="1" applyBorder="1" applyFill="1" applyFont="1">
      <alignment horizontal="right" shrinkToFit="0" vertical="bottom" wrapText="0"/>
    </xf>
    <xf borderId="2" fillId="4" fontId="3" numFmtId="0" xfId="0" applyAlignment="1" applyBorder="1" applyFill="1" applyFont="1">
      <alignment horizontal="center" shrinkToFit="0" vertical="bottom" wrapText="0"/>
    </xf>
    <xf borderId="10" fillId="0" fontId="6" numFmtId="0" xfId="0" applyBorder="1" applyFont="1"/>
    <xf borderId="2" fillId="4" fontId="3" numFmtId="164" xfId="0" applyAlignment="1" applyBorder="1" applyFill="1" applyFont="1" applyNumberFormat="1">
      <alignment horizontal="center" shrinkToFit="0" vertical="bottom" wrapText="0"/>
    </xf>
    <xf borderId="8" fillId="2" fontId="10" numFmtId="0" xfId="0" applyAlignment="1" applyBorder="1" applyFill="1" applyFont="1">
      <alignment horizontal="center" shrinkToFit="0" vertical="bottom" wrapText="0"/>
    </xf>
    <xf borderId="8" fillId="2" fontId="11" numFmtId="0" xfId="0" applyAlignment="1" applyBorder="1" applyFill="1" applyFont="1">
      <alignment horizontal="center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11" fillId="3" fontId="9" numFmtId="0" xfId="0" applyAlignment="1" applyBorder="1" applyFill="1" applyFont="1">
      <alignment horizontal="center" shrinkToFit="0" vertical="center" wrapText="0"/>
    </xf>
    <xf borderId="12" fillId="4" fontId="9" numFmtId="0" xfId="0" applyAlignment="1" applyBorder="1" applyFill="1" applyFont="1">
      <alignment horizontal="center" shrinkToFit="0" vertical="center" wrapText="0"/>
    </xf>
    <xf borderId="12" fillId="3" fontId="9" numFmtId="0" xfId="0" applyAlignment="1" applyBorder="1" applyFill="1" applyFont="1">
      <alignment horizontal="center" shrinkToFit="0" vertical="center" wrapText="0"/>
    </xf>
    <xf borderId="13" fillId="4" fontId="9" numFmtId="0" xfId="0" applyAlignment="1" applyBorder="1" applyFill="1" applyFont="1">
      <alignment horizontal="center" shrinkToFit="0" vertical="center" wrapText="0"/>
    </xf>
    <xf borderId="8" fillId="0" fontId="12" numFmtId="2" xfId="0" applyAlignment="1" applyBorder="1" applyFont="1" applyNumberFormat="1">
      <alignment horizontal="center" shrinkToFit="0" vertical="bottom" wrapText="0"/>
    </xf>
    <xf borderId="14" fillId="2" fontId="13" numFmtId="0" xfId="0" applyAlignment="1" applyBorder="1" applyFill="1" applyFont="1">
      <alignment horizontal="left" shrinkToFit="0" vertical="center" wrapText="0"/>
    </xf>
    <xf borderId="15" fillId="0" fontId="6" numFmtId="0" xfId="0" applyBorder="1" applyFont="1"/>
    <xf borderId="16" fillId="0" fontId="6" numFmtId="0" xfId="0" applyBorder="1" applyFont="1"/>
    <xf borderId="17" fillId="3" fontId="9" numFmtId="0" xfId="0" applyAlignment="1" applyBorder="1" applyFill="1" applyFont="1">
      <alignment horizontal="right" shrinkToFit="0" vertical="bottom" wrapText="0"/>
    </xf>
    <xf borderId="18" fillId="0" fontId="6" numFmtId="0" xfId="0" applyBorder="1" applyFont="1"/>
    <xf borderId="19" fillId="4" fontId="3" numFmtId="49" xfId="0" applyAlignment="1" applyBorder="1" applyFill="1" applyFont="1" applyNumberFormat="1">
      <alignment horizontal="center" shrinkToFit="0" vertical="bottom" wrapText="0"/>
    </xf>
    <xf borderId="20" fillId="0" fontId="6" numFmtId="0" xfId="0" applyBorder="1" applyFont="1"/>
    <xf borderId="0" fillId="0" fontId="5" numFmtId="0" xfId="0" applyAlignment="1" applyFont="1">
      <alignment shrinkToFit="0" vertical="bottom" wrapText="0"/>
    </xf>
    <xf borderId="21" fillId="2" fontId="13" numFmtId="0" xfId="0" applyAlignment="1" applyBorder="1" applyFill="1" applyFont="1">
      <alignment horizontal="left" shrinkToFit="0" vertical="center" wrapText="0"/>
    </xf>
    <xf borderId="22" fillId="0" fontId="6" numFmtId="0" xfId="0" applyBorder="1" applyFont="1"/>
    <xf borderId="23" fillId="0" fontId="6" numFmtId="0" xfId="0" applyBorder="1" applyFont="1"/>
    <xf borderId="21" fillId="2" fontId="13" numFmtId="0" xfId="0" applyAlignment="1" applyBorder="1" applyFill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1" fillId="2" fontId="13" numFmtId="0" xfId="0" applyAlignment="1" applyBorder="1" applyFill="1" applyFont="1">
      <alignment horizontal="left" shrinkToFit="0" vertical="bottom" wrapText="0"/>
    </xf>
    <xf borderId="8" fillId="2" fontId="10" numFmtId="0" xfId="0" applyAlignment="1" applyBorder="1" applyFill="1" applyFont="1">
      <alignment horizontal="center" shrinkToFit="0" vertical="center" wrapText="0"/>
    </xf>
    <xf borderId="8" fillId="2" fontId="11" numFmtId="0" xfId="0" applyAlignment="1" applyBorder="1" applyFill="1" applyFont="1">
      <alignment horizontal="center" shrinkToFit="0" vertical="center" wrapText="0"/>
    </xf>
    <xf borderId="24" fillId="3" fontId="14" numFmtId="0" xfId="0" applyAlignment="1" applyBorder="1" applyFill="1" applyFont="1">
      <alignment horizontal="center" shrinkToFit="0" vertical="center" wrapText="0"/>
    </xf>
    <xf borderId="25" fillId="0" fontId="6" numFmtId="0" xfId="0" applyBorder="1" applyFont="1"/>
    <xf borderId="26" fillId="3" fontId="14" numFmtId="0" xfId="0" applyAlignment="1" applyBorder="1" applyFill="1" applyFont="1">
      <alignment horizontal="center" shrinkToFit="0" vertical="center" wrapText="0"/>
    </xf>
    <xf borderId="27" fillId="0" fontId="6" numFmtId="0" xfId="0" applyBorder="1" applyFont="1"/>
    <xf borderId="28" fillId="3" fontId="14" numFmtId="0" xfId="0" applyAlignment="1" applyBorder="1" applyFill="1" applyFont="1">
      <alignment horizontal="center" shrinkToFit="0" vertical="center" wrapText="1"/>
    </xf>
    <xf borderId="29" fillId="0" fontId="6" numFmtId="0" xfId="0" applyBorder="1" applyFont="1"/>
    <xf borderId="1" fillId="2" fontId="14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horizontal="center" shrinkToFit="0" vertical="center" wrapText="1"/>
    </xf>
    <xf borderId="30" fillId="3" fontId="14" numFmtId="0" xfId="0" applyAlignment="1" applyBorder="1" applyFill="1" applyFont="1">
      <alignment horizontal="center" shrinkToFit="0" vertical="center" wrapText="0"/>
    </xf>
    <xf borderId="31" fillId="0" fontId="6" numFmtId="0" xfId="0" applyBorder="1" applyFont="1"/>
    <xf borderId="32" fillId="3" fontId="14" numFmtId="0" xfId="0" applyAlignment="1" applyBorder="1" applyFill="1" applyFont="1">
      <alignment horizontal="center" shrinkToFit="0" vertical="center" wrapText="0"/>
    </xf>
    <xf borderId="33" fillId="3" fontId="14" numFmtId="0" xfId="0" applyAlignment="1" applyBorder="1" applyFill="1" applyFont="1">
      <alignment horizontal="center" shrinkToFit="0" vertical="center" wrapText="0"/>
    </xf>
    <xf borderId="34" fillId="3" fontId="14" numFmtId="0" xfId="0" applyAlignment="1" applyBorder="1" applyFill="1" applyFont="1">
      <alignment horizontal="center" shrinkToFit="0" vertical="center" wrapText="0"/>
    </xf>
    <xf borderId="35" fillId="0" fontId="6" numFmtId="0" xfId="0" applyBorder="1" applyFont="1"/>
    <xf borderId="36" fillId="0" fontId="6" numFmtId="0" xfId="0" applyBorder="1" applyFont="1"/>
    <xf borderId="8" fillId="4" fontId="15" numFmtId="0" xfId="0" applyAlignment="1" applyBorder="1" applyFill="1" applyFont="1">
      <alignment horizontal="center" shrinkToFit="0" vertical="center" wrapText="1"/>
    </xf>
    <xf borderId="37" fillId="2" fontId="14" numFmtId="0" xfId="0" applyAlignment="1" applyBorder="1" applyFill="1" applyFont="1">
      <alignment horizontal="center" shrinkToFit="0" vertical="center" wrapText="0"/>
    </xf>
    <xf borderId="34" fillId="2" fontId="14" numFmtId="0" xfId="0" applyAlignment="1" applyBorder="1" applyFill="1" applyFont="1">
      <alignment horizontal="center" shrinkToFit="0" vertical="center" wrapText="0"/>
    </xf>
    <xf borderId="32" fillId="4" fontId="16" numFmtId="2" xfId="0" applyAlignment="1" applyBorder="1" applyFill="1" applyFont="1" applyNumberFormat="1">
      <alignment horizontal="center" shrinkToFit="0" vertical="center" wrapText="0"/>
    </xf>
    <xf borderId="33" fillId="4" fontId="16" numFmtId="2" xfId="0" applyAlignment="1" applyBorder="1" applyFill="1" applyFont="1" applyNumberFormat="1">
      <alignment horizontal="center" shrinkToFit="0" vertical="center" wrapText="0"/>
    </xf>
    <xf borderId="33" fillId="2" fontId="14" numFmtId="164" xfId="0" applyAlignment="1" applyBorder="1" applyFill="1" applyFont="1" applyNumberFormat="1">
      <alignment horizontal="center" shrinkToFit="0" vertical="center" wrapText="0"/>
    </xf>
    <xf borderId="34" fillId="2" fontId="14" numFmtId="164" xfId="0" applyAlignment="1" applyBorder="1" applyFill="1" applyFont="1" applyNumberFormat="1">
      <alignment horizontal="center" shrinkToFit="0" vertical="center" wrapText="0"/>
    </xf>
    <xf borderId="38" fillId="2" fontId="16" numFmtId="165" xfId="0" applyAlignment="1" applyBorder="1" applyFill="1" applyFont="1" applyNumberFormat="1">
      <alignment horizontal="center" shrinkToFit="0" vertical="bottom" wrapText="0"/>
    </xf>
    <xf borderId="1" fillId="2" fontId="16" numFmtId="165" xfId="0" applyAlignment="1" applyBorder="1" applyFill="1" applyFont="1" applyNumberFormat="1">
      <alignment horizontal="center" shrinkToFit="0" vertical="bottom" wrapText="0"/>
    </xf>
    <xf borderId="8" fillId="0" fontId="5" numFmtId="165" xfId="0" applyAlignment="1" applyBorder="1" applyFont="1" applyNumberFormat="1">
      <alignment horizontal="center" shrinkToFit="0" vertical="bottom" wrapText="0"/>
    </xf>
    <xf borderId="39" fillId="0" fontId="6" numFmtId="0" xfId="0" applyBorder="1" applyFont="1"/>
    <xf borderId="8" fillId="0" fontId="1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40" fillId="0" fontId="5" numFmtId="0" xfId="0" applyAlignment="1" applyBorder="1" applyFont="1">
      <alignment horizontal="center" shrinkToFit="0" vertical="bottom" wrapText="0"/>
    </xf>
    <xf borderId="40" fillId="0" fontId="5" numFmtId="0" xfId="0" applyAlignment="1" applyBorder="1" applyFont="1">
      <alignment horizontal="left" shrinkToFit="0" vertical="bottom" wrapText="0"/>
    </xf>
    <xf borderId="8" fillId="0" fontId="17" numFmtId="0" xfId="0" applyAlignment="1" applyBorder="1" applyFont="1">
      <alignment shrinkToFit="0" vertical="bottom" wrapText="0"/>
    </xf>
    <xf borderId="8" fillId="0" fontId="17" numFmtId="165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8" fillId="0" fontId="12" numFmtId="1" xfId="0" applyAlignment="1" applyBorder="1" applyFont="1" applyNumberFormat="1">
      <alignment horizontal="center" shrinkToFit="0" vertical="center" wrapText="0"/>
    </xf>
    <xf borderId="41" fillId="2" fontId="11" numFmtId="0" xfId="0" applyAlignment="1" applyBorder="1" applyFill="1" applyFont="1">
      <alignment horizontal="center" shrinkToFit="0" vertical="center" wrapText="0"/>
    </xf>
    <xf borderId="42" fillId="4" fontId="18" numFmtId="0" xfId="0" applyAlignment="1" applyBorder="1" applyFill="1" applyFont="1">
      <alignment horizontal="left" readingOrder="1" shrinkToFit="0" vertical="center" wrapText="1"/>
    </xf>
    <xf borderId="1" fillId="4" fontId="18" numFmtId="0" xfId="0" applyAlignment="1" applyBorder="1" applyFill="1" applyFont="1">
      <alignment horizontal="left" readingOrder="1" shrinkToFit="0" vertical="center" wrapText="1"/>
    </xf>
    <xf borderId="43" fillId="0" fontId="6" numFmtId="0" xfId="0" applyBorder="1" applyFont="1"/>
    <xf borderId="44" fillId="0" fontId="6" numFmtId="0" xfId="0" applyBorder="1" applyFont="1"/>
    <xf borderId="33" fillId="2" fontId="16" numFmtId="0" xfId="0" applyAlignment="1" applyBorder="1" applyFill="1" applyFont="1">
      <alignment horizontal="center" shrinkToFit="0" vertical="bottom" wrapText="0"/>
    </xf>
    <xf borderId="34" fillId="2" fontId="16" numFmtId="0" xfId="0" applyAlignment="1" applyBorder="1" applyFill="1" applyFont="1">
      <alignment horizontal="center" shrinkToFit="0" vertical="bottom" wrapText="0"/>
    </xf>
    <xf borderId="32" fillId="2" fontId="14" numFmtId="0" xfId="0" applyAlignment="1" applyBorder="1" applyFill="1" applyFont="1">
      <alignment horizontal="left" shrinkToFit="0" vertical="bottom" wrapText="0"/>
    </xf>
    <xf borderId="34" fillId="2" fontId="16" numFmtId="166" xfId="0" applyAlignment="1" applyBorder="1" applyFill="1" applyFont="1" applyNumberFormat="1">
      <alignment horizontal="left" shrinkToFit="0" vertical="bottom" wrapText="0"/>
    </xf>
    <xf borderId="1" fillId="2" fontId="16" numFmtId="166" xfId="0" applyAlignment="1" applyBorder="1" applyFill="1" applyFont="1" applyNumberFormat="1">
      <alignment horizontal="left" shrinkToFit="0" vertical="bottom" wrapText="0"/>
    </xf>
    <xf borderId="2" fillId="0" fontId="5" numFmtId="166" xfId="0" applyAlignment="1" applyBorder="1" applyFont="1" applyNumberFormat="1">
      <alignment shrinkToFit="0" vertical="bottom" wrapText="0"/>
    </xf>
    <xf borderId="3" fillId="0" fontId="5" numFmtId="166" xfId="0" applyAlignment="1" applyBorder="1" applyFont="1" applyNumberFormat="1">
      <alignment shrinkToFit="0" vertical="bottom" wrapText="0"/>
    </xf>
    <xf borderId="8" fillId="0" fontId="12" numFmtId="165" xfId="0" applyAlignment="1" applyBorder="1" applyFont="1" applyNumberFormat="1">
      <alignment horizontal="center" shrinkToFit="0" vertical="center" wrapText="0"/>
    </xf>
    <xf borderId="21" fillId="4" fontId="18" numFmtId="0" xfId="0" applyAlignment="1" applyBorder="1" applyFill="1" applyFont="1">
      <alignment horizontal="center" readingOrder="1" shrinkToFit="0" vertical="center" wrapText="1"/>
    </xf>
    <xf borderId="45" fillId="0" fontId="6" numFmtId="0" xfId="0" applyBorder="1" applyFont="1"/>
    <xf borderId="46" fillId="2" fontId="14" numFmtId="0" xfId="0" applyAlignment="1" applyBorder="1" applyFill="1" applyFont="1">
      <alignment horizontal="center" shrinkToFit="0" vertical="center" wrapText="0"/>
    </xf>
    <xf borderId="47" fillId="2" fontId="16" numFmtId="164" xfId="0" applyAlignment="1" applyBorder="1" applyFill="1" applyFont="1" applyNumberFormat="1">
      <alignment horizontal="center" shrinkToFit="0" vertical="bottom" wrapText="0"/>
    </xf>
    <xf borderId="48" fillId="0" fontId="6" numFmtId="0" xfId="0" applyBorder="1" applyFont="1"/>
    <xf borderId="49" fillId="0" fontId="6" numFmtId="0" xfId="0" applyBorder="1" applyFont="1"/>
    <xf borderId="50" fillId="2" fontId="16" numFmtId="0" xfId="0" applyAlignment="1" applyBorder="1" applyFill="1" applyFont="1">
      <alignment horizontal="center" shrinkToFit="0" vertical="bottom" wrapText="0"/>
    </xf>
    <xf borderId="46" fillId="2" fontId="16" numFmtId="0" xfId="0" applyAlignment="1" applyBorder="1" applyFill="1" applyFont="1">
      <alignment horizontal="center" shrinkToFit="0" vertical="bottom" wrapText="0"/>
    </xf>
    <xf borderId="47" fillId="2" fontId="16" numFmtId="0" xfId="0" applyAlignment="1" applyBorder="1" applyFill="1" applyFont="1">
      <alignment horizontal="center" shrinkToFit="0" vertical="bottom" wrapText="0"/>
    </xf>
    <xf borderId="51" fillId="2" fontId="14" numFmtId="0" xfId="0" applyAlignment="1" applyBorder="1" applyFill="1" applyFont="1">
      <alignment horizontal="left" shrinkToFit="0" vertical="bottom" wrapText="0"/>
    </xf>
    <xf borderId="46" fillId="2" fontId="16" numFmtId="166" xfId="0" applyAlignment="1" applyBorder="1" applyFill="1" applyFont="1" applyNumberFormat="1">
      <alignment horizontal="left" shrinkToFit="0" vertical="bottom" wrapText="0"/>
    </xf>
    <xf borderId="8" fillId="0" fontId="5" numFmtId="166" xfId="0" applyAlignment="1" applyBorder="1" applyFont="1" applyNumberFormat="1">
      <alignment horizontal="left" shrinkToFit="0" vertical="bottom" wrapText="0"/>
    </xf>
    <xf borderId="1" fillId="4" fontId="18" numFmtId="0" xfId="0" applyAlignment="1" applyBorder="1" applyFill="1" applyFont="1">
      <alignment horizontal="center" readingOrder="1" shrinkToFit="0" vertical="center" wrapText="1"/>
    </xf>
    <xf borderId="52" fillId="2" fontId="16" numFmtId="0" xfId="0" applyAlignment="1" applyBorder="1" applyFill="1" applyFont="1">
      <alignment horizontal="right" shrinkToFit="0" vertical="center" wrapText="0"/>
    </xf>
    <xf borderId="53" fillId="0" fontId="6" numFmtId="0" xfId="0" applyBorder="1" applyFont="1"/>
    <xf borderId="1" fillId="2" fontId="14" numFmtId="0" xfId="0" applyAlignment="1" applyBorder="1" applyFill="1" applyFont="1">
      <alignment horizontal="left" shrinkToFit="0" vertical="center" wrapText="0"/>
    </xf>
    <xf borderId="1" fillId="2" fontId="19" numFmtId="0" xfId="0" applyAlignment="1" applyBorder="1" applyFill="1" applyFont="1">
      <alignment horizontal="left" shrinkToFit="0" vertical="center" wrapText="0"/>
    </xf>
    <xf borderId="1" fillId="2" fontId="14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ill="1" applyFont="1">
      <alignment shrinkToFit="0" vertical="bottom" wrapText="0"/>
    </xf>
    <xf borderId="54" fillId="2" fontId="14" numFmtId="0" xfId="0" applyAlignment="1" applyBorder="1" applyFill="1" applyFont="1">
      <alignment horizontal="left" shrinkToFit="0" vertical="bottom" wrapText="0"/>
    </xf>
    <xf borderId="55" fillId="2" fontId="16" numFmtId="166" xfId="0" applyAlignment="1" applyBorder="1" applyFill="1" applyFont="1" applyNumberFormat="1">
      <alignment horizontal="left" shrinkToFit="0" vertical="bottom" wrapText="0"/>
    </xf>
    <xf borderId="1" fillId="4" fontId="20" numFmtId="0" xfId="0" applyAlignment="1" applyBorder="1" applyFill="1" applyFont="1">
      <alignment horizontal="center" readingOrder="1" shrinkToFit="0" vertical="center" wrapText="1"/>
    </xf>
    <xf borderId="56" fillId="2" fontId="21" numFmtId="0" xfId="0" applyAlignment="1" applyBorder="1" applyFill="1" applyFont="1">
      <alignment horizontal="center" shrinkToFit="0" vertical="center" wrapText="0"/>
    </xf>
    <xf borderId="57" fillId="0" fontId="6" numFmtId="0" xfId="0" applyBorder="1" applyFont="1"/>
    <xf borderId="58" fillId="2" fontId="22" numFmtId="0" xfId="0" applyAlignment="1" applyBorder="1" applyFill="1" applyFont="1">
      <alignment horizontal="center" shrinkToFit="0" vertical="center" wrapText="0"/>
    </xf>
    <xf borderId="58" fillId="2" fontId="21" numFmtId="0" xfId="0" applyAlignment="1" applyBorder="1" applyFill="1" applyFont="1">
      <alignment horizontal="center" shrinkToFit="0" vertical="center" wrapText="0"/>
    </xf>
    <xf borderId="59" fillId="2" fontId="21" numFmtId="0" xfId="0" applyAlignment="1" applyBorder="1" applyFill="1" applyFont="1">
      <alignment horizontal="center" shrinkToFit="0" vertical="center" wrapText="0"/>
    </xf>
    <xf borderId="60" fillId="2" fontId="14" numFmtId="0" xfId="0" applyAlignment="1" applyBorder="1" applyFill="1" applyFont="1">
      <alignment horizontal="left" shrinkToFit="0" vertical="bottom" wrapText="0"/>
    </xf>
    <xf borderId="61" fillId="2" fontId="16" numFmtId="166" xfId="0" applyAlignment="1" applyBorder="1" applyFill="1" applyFont="1" applyNumberFormat="1">
      <alignment horizontal="left" shrinkToFit="0" vertical="bottom" wrapText="0"/>
    </xf>
    <xf borderId="9" fillId="2" fontId="16" numFmtId="0" xfId="0" applyAlignment="1" applyBorder="1" applyFill="1" applyFont="1">
      <alignment horizontal="right" shrinkToFit="0" vertical="center" wrapText="0"/>
    </xf>
    <xf borderId="62" fillId="0" fontId="6" numFmtId="0" xfId="0" applyBorder="1" applyFont="1"/>
    <xf borderId="8" fillId="2" fontId="16" numFmtId="10" xfId="0" applyAlignment="1" applyBorder="1" applyFill="1" applyFont="1" applyNumberFormat="1">
      <alignment horizontal="center" shrinkToFit="0" vertical="center" wrapText="0"/>
    </xf>
    <xf borderId="8" fillId="2" fontId="16" numFmtId="0" xfId="0" applyAlignment="1" applyBorder="1" applyFill="1" applyFont="1">
      <alignment horizontal="center" shrinkToFit="0" vertical="center" wrapText="0"/>
    </xf>
    <xf borderId="63" fillId="2" fontId="16" numFmtId="0" xfId="0" applyAlignment="1" applyBorder="1" applyFill="1" applyFont="1">
      <alignment horizontal="center" shrinkToFit="0" vertical="center" wrapText="0"/>
    </xf>
    <xf borderId="1" fillId="2" fontId="13" numFmtId="0" xfId="0" applyAlignment="1" applyBorder="1" applyFill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64" fillId="4" fontId="23" numFmtId="0" xfId="0" applyAlignment="1" applyBorder="1" applyFill="1" applyFont="1">
      <alignment horizontal="center" readingOrder="1" shrinkToFit="0" vertical="center" wrapText="1"/>
    </xf>
    <xf borderId="65" fillId="0" fontId="6" numFmtId="0" xfId="0" applyBorder="1" applyFont="1"/>
    <xf borderId="66" fillId="0" fontId="6" numFmtId="0" xfId="0" applyBorder="1" applyFont="1"/>
    <xf borderId="1" fillId="2" fontId="13" numFmtId="167" xfId="0" applyAlignment="1" applyBorder="1" applyFill="1" applyFont="1" applyNumberFormat="1">
      <alignment shrinkToFit="0" vertical="bottom" wrapText="0"/>
    </xf>
    <xf borderId="33" fillId="4" fontId="24" numFmtId="0" xfId="0" applyAlignment="1" applyBorder="1" applyFill="1" applyFont="1">
      <alignment horizontal="center" readingOrder="1" shrinkToFit="0" vertical="center" wrapText="1"/>
    </xf>
    <xf borderId="8" fillId="2" fontId="25" numFmtId="0" xfId="0" applyAlignment="1" applyBorder="1" applyFill="1" applyFont="1">
      <alignment horizontal="center" shrinkToFit="0" vertical="center" wrapText="0"/>
    </xf>
    <xf borderId="63" fillId="2" fontId="25" numFmtId="0" xfId="0" applyAlignment="1" applyBorder="1" applyFill="1" applyFont="1">
      <alignment horizontal="center" shrinkToFit="0" vertical="center" wrapText="0"/>
    </xf>
    <xf borderId="1" fillId="2" fontId="26" numFmtId="167" xfId="0" applyAlignment="1" applyBorder="1" applyFill="1" applyFont="1" applyNumberFormat="1">
      <alignment shrinkToFit="0" vertical="bottom" wrapText="0"/>
    </xf>
    <xf borderId="1" fillId="2" fontId="26" numFmtId="0" xfId="0" applyAlignment="1" applyBorder="1" applyFill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33" fillId="4" fontId="24" numFmtId="164" xfId="0" applyAlignment="1" applyBorder="1" applyFill="1" applyFont="1" applyNumberFormat="1">
      <alignment horizontal="center" readingOrder="1" shrinkToFit="0" vertical="center" wrapText="1"/>
    </xf>
    <xf borderId="33" fillId="4" fontId="24" numFmtId="168" xfId="0" applyAlignment="1" applyBorder="1" applyFill="1" applyFont="1" applyNumberFormat="1">
      <alignment horizontal="center" readingOrder="1" shrinkToFit="0" vertical="center" wrapText="1"/>
    </xf>
    <xf borderId="1" fillId="4" fontId="18" numFmtId="0" xfId="0" applyAlignment="1" applyBorder="1" applyFill="1" applyFont="1">
      <alignment horizontal="right" readingOrder="1" shrinkToFit="0" vertical="center" wrapText="1"/>
    </xf>
    <xf borderId="1" fillId="4" fontId="18" numFmtId="166" xfId="0" applyAlignment="1" applyBorder="1" applyFill="1" applyFont="1" applyNumberFormat="1">
      <alignment horizontal="center" readingOrder="1" shrinkToFit="0" vertical="center" wrapText="1"/>
    </xf>
    <xf borderId="1" fillId="4" fontId="18" numFmtId="169" xfId="0" applyAlignment="1" applyBorder="1" applyFill="1" applyFont="1" applyNumberFormat="1">
      <alignment horizontal="center" readingOrder="1" shrinkToFit="0" vertical="center" wrapText="1"/>
    </xf>
    <xf borderId="17" fillId="2" fontId="16" numFmtId="0" xfId="0" applyAlignment="1" applyBorder="1" applyFill="1" applyFont="1">
      <alignment horizontal="right" shrinkToFit="0" vertical="center" wrapText="0"/>
    </xf>
    <xf borderId="67" fillId="0" fontId="6" numFmtId="0" xfId="0" applyBorder="1" applyFont="1"/>
    <xf borderId="68" fillId="2" fontId="16" numFmtId="10" xfId="0" applyAlignment="1" applyBorder="1" applyFill="1" applyFont="1" applyNumberFormat="1">
      <alignment horizontal="center" shrinkToFit="0" vertical="center" wrapText="0"/>
    </xf>
    <xf borderId="68" fillId="2" fontId="28" numFmtId="0" xfId="0" applyAlignment="1" applyBorder="1" applyFill="1" applyFont="1">
      <alignment horizontal="center" shrinkToFit="0" vertical="center" wrapText="0"/>
    </xf>
    <xf borderId="61" fillId="2" fontId="28" numFmtId="0" xfId="0" applyAlignment="1" applyBorder="1" applyFill="1" applyFont="1">
      <alignment horizontal="center" shrinkToFit="0" vertical="center" wrapText="0"/>
    </xf>
    <xf borderId="1" fillId="4" fontId="18" numFmtId="165" xfId="0" applyAlignment="1" applyBorder="1" applyFill="1" applyFont="1" applyNumberFormat="1">
      <alignment horizontal="center" readingOrder="1" shrinkToFit="0" vertical="center" wrapText="1"/>
    </xf>
    <xf borderId="1" fillId="4" fontId="20" numFmtId="165" xfId="0" applyAlignment="1" applyBorder="1" applyFill="1" applyFont="1" applyNumberFormat="1">
      <alignment horizontal="center" readingOrder="1" shrinkToFit="0" vertical="center" wrapText="1"/>
    </xf>
    <xf borderId="33" fillId="4" fontId="29" numFmtId="0" xfId="0" applyAlignment="1" applyBorder="1" applyFill="1" applyFont="1">
      <alignment horizontal="center" readingOrder="1" shrinkToFit="0" vertical="center" wrapText="1"/>
    </xf>
    <xf borderId="33" fillId="4" fontId="20" numFmtId="0" xfId="0" applyAlignment="1" applyBorder="1" applyFill="1" applyFont="1">
      <alignment horizontal="center" readingOrder="1" shrinkToFit="0" vertical="center" wrapText="1"/>
    </xf>
    <xf borderId="1" fillId="2" fontId="30" numFmtId="0" xfId="0" applyAlignment="1" applyBorder="1" applyFill="1" applyFont="1">
      <alignment shrinkToFit="0" vertical="bottom" wrapText="0"/>
    </xf>
    <xf borderId="1" fillId="4" fontId="24" numFmtId="0" xfId="0" applyAlignment="1" applyBorder="1" applyFill="1" applyFont="1">
      <alignment horizontal="center" readingOrder="1" shrinkToFit="0" vertical="center" wrapText="1"/>
    </xf>
    <xf borderId="21" fillId="4" fontId="23" numFmtId="0" xfId="0" applyAlignment="1" applyBorder="1" applyFill="1" applyFont="1">
      <alignment horizontal="center" readingOrder="1" shrinkToFit="0" vertical="center" wrapText="1"/>
    </xf>
    <xf borderId="33" fillId="4" fontId="24" numFmtId="0" xfId="0" applyAlignment="1" applyBorder="1" applyFill="1" applyFont="1">
      <alignment horizontal="left" readingOrder="1" shrinkToFit="0" vertical="center" wrapText="1"/>
    </xf>
    <xf borderId="33" fillId="4" fontId="24" numFmtId="10" xfId="0" applyAlignment="1" applyBorder="1" applyFill="1" applyFont="1" applyNumberFormat="1">
      <alignment horizontal="center" readingOrder="1" shrinkToFit="0" vertical="center" wrapText="1"/>
    </xf>
    <xf borderId="1" fillId="4" fontId="24" numFmtId="0" xfId="0" applyAlignment="1" applyBorder="1" applyFill="1" applyFont="1">
      <alignment horizontal="left" readingOrder="1" shrinkToFit="0" vertical="center" wrapText="1"/>
    </xf>
    <xf borderId="1" fillId="4" fontId="24" numFmtId="0" xfId="0" applyAlignment="1" applyBorder="1" applyFill="1" applyFont="1">
      <alignment horizontal="right" readingOrder="1" shrinkToFit="0" vertical="center" wrapText="1"/>
    </xf>
    <xf borderId="1" fillId="4" fontId="24" numFmtId="164" xfId="0" applyAlignment="1" applyBorder="1" applyFill="1" applyFont="1" applyNumberFormat="1">
      <alignment horizontal="center" readingOrder="1" shrinkToFit="0" vertical="center" wrapText="1"/>
    </xf>
    <xf borderId="1" fillId="4" fontId="18" numFmtId="165" xfId="0" applyAlignment="1" applyBorder="1" applyFill="1" applyFont="1" applyNumberFormat="1">
      <alignment horizontal="left" readingOrder="1" shrinkToFit="0" vertical="center" wrapText="1"/>
    </xf>
    <xf borderId="1" fillId="4" fontId="31" numFmtId="0" xfId="0" applyAlignment="1" applyBorder="1" applyFill="1" applyFont="1">
      <alignment horizontal="center" readingOrder="1" shrinkToFit="0" vertical="center" wrapText="1"/>
    </xf>
    <xf borderId="1" fillId="4" fontId="32" numFmtId="0" xfId="0" applyAlignment="1" applyBorder="1" applyFill="1" applyFont="1">
      <alignment horizontal="center" readingOrder="1" shrinkToFit="0" vertical="center" wrapText="1"/>
    </xf>
    <xf borderId="0" fillId="0" fontId="33" numFmtId="0" xfId="0" applyAlignment="1" applyFont="1">
      <alignment horizontal="center" shrinkToFit="0" vertical="center" wrapText="0"/>
    </xf>
    <xf borderId="1" fillId="4" fontId="24" numFmtId="168" xfId="0" applyAlignment="1" applyBorder="1" applyFill="1" applyFont="1" applyNumberFormat="1">
      <alignment horizontal="center" readingOrder="1" shrinkToFit="0" vertical="center" wrapText="1"/>
    </xf>
    <xf borderId="21" fillId="4" fontId="34" numFmtId="0" xfId="0" applyAlignment="1" applyBorder="1" applyFill="1" applyFont="1">
      <alignment horizontal="center" readingOrder="1" shrinkToFit="0" vertical="center" wrapText="1"/>
    </xf>
    <xf borderId="0" fillId="0" fontId="35" numFmtId="0" xfId="0" applyAlignment="1" applyFont="1">
      <alignment horizontal="center" shrinkToFit="0" vertical="center" wrapText="0"/>
    </xf>
    <xf borderId="0" fillId="0" fontId="35" numFmtId="170" xfId="0" applyAlignment="1" applyFont="1" applyNumberFormat="1">
      <alignment horizontal="center" shrinkToFit="0" vertical="center" wrapText="0"/>
    </xf>
    <xf borderId="0" fillId="0" fontId="35" numFmtId="164" xfId="0" applyAlignment="1" applyFont="1" applyNumberFormat="1">
      <alignment horizontal="center" shrinkToFit="0" vertical="center" wrapText="0"/>
    </xf>
    <xf borderId="0" fillId="0" fontId="33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0" fillId="0" fontId="36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" fillId="4" fontId="24" numFmtId="10" xfId="0" applyAlignment="1" applyBorder="1" applyFill="1" applyFont="1" applyNumberFormat="1">
      <alignment horizontal="center" readingOrder="1" shrinkToFit="0" vertical="center" wrapText="1"/>
    </xf>
    <xf borderId="1" fillId="4" fontId="24" numFmtId="166" xfId="0" applyAlignment="1" applyBorder="1" applyFill="1" applyFont="1" applyNumberFormat="1">
      <alignment horizontal="center" readingOrder="1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Sheet1!$D$62:$D$91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Sheet1!$F$62:$F$91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99CC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Sheet1!$G$62:$G$91</c:f>
              <c:numCache/>
            </c:numRef>
          </c:val>
          <c:smooth val="0"/>
        </c:ser>
        <c:ser>
          <c:idx val="3"/>
          <c:order val="3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Sheet1!$H$62:$H$91</c:f>
              <c:numCache/>
            </c:numRef>
          </c:val>
          <c:smooth val="0"/>
        </c:ser>
        <c:axId val="94897910"/>
        <c:axId val="1677264436"/>
      </c:lineChart>
      <c:catAx>
        <c:axId val="94897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264436"/>
      </c:catAx>
      <c:valAx>
        <c:axId val="1677264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97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Sheet1!$J$62:$J$91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Sheet1!$K$62:$K$91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99CC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Sheet1!$C$62:$C$91</c:f>
            </c:strRef>
          </c:cat>
          <c:val>
            <c:numRef>
              <c:f>Sheet1!$L$62:$L$91</c:f>
              <c:numCache/>
            </c:numRef>
          </c:val>
          <c:smooth val="0"/>
        </c:ser>
        <c:axId val="779920078"/>
        <c:axId val="107651669"/>
      </c:lineChart>
      <c:catAx>
        <c:axId val="77992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51669"/>
      </c:catAx>
      <c:valAx>
        <c:axId val="107651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920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33</xdr:row>
      <xdr:rowOff>47625</xdr:rowOff>
    </xdr:from>
    <xdr:ext cx="8582025" cy="28384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400050</xdr:colOff>
      <xdr:row>33</xdr:row>
      <xdr:rowOff>57150</xdr:rowOff>
    </xdr:from>
    <xdr:ext cx="8601075" cy="2809875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19050</xdr:colOff>
      <xdr:row>25</xdr:row>
      <xdr:rowOff>47625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18</xdr:col>
      <xdr:colOff>38100</xdr:colOff>
      <xdr:row>24</xdr:row>
      <xdr:rowOff>19050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18</xdr:col>
      <xdr:colOff>19050</xdr:colOff>
      <xdr:row>25</xdr:row>
      <xdr:rowOff>9525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342900</xdr:colOff>
      <xdr:row>24</xdr:row>
      <xdr:rowOff>9525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342900</xdr:colOff>
      <xdr:row>25</xdr:row>
      <xdr:rowOff>19050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342900</xdr:colOff>
      <xdr:row>13</xdr:row>
      <xdr:rowOff>9525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4" name="Shape 4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10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16</xdr:col>
      <xdr:colOff>323850</xdr:colOff>
      <xdr:row>13</xdr:row>
      <xdr:rowOff>9525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4" name="Shape 4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10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18</xdr:col>
      <xdr:colOff>28575</xdr:colOff>
      <xdr:row>26</xdr:row>
      <xdr:rowOff>28575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18</xdr:col>
      <xdr:colOff>28575</xdr:colOff>
      <xdr:row>26</xdr:row>
      <xdr:rowOff>9525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3" name="Shape 3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361950</xdr:colOff>
      <xdr:row>13</xdr:row>
      <xdr:rowOff>19050</xdr:rowOff>
    </xdr:from>
    <xdr:ext cx="95250" cy="38100"/>
    <xdr:grpSp>
      <xdr:nvGrpSpPr>
        <xdr:cNvPr id="2" name="Shape 2"/>
        <xdr:cNvGrpSpPr/>
      </xdr:nvGrpSpPr>
      <xdr:grpSpPr>
        <a:xfrm>
          <a:off x="5298375" y="3780000"/>
          <a:ext cx="95250" cy="0"/>
          <a:chOff x="5298375" y="3780000"/>
          <a:chExt cx="95250" cy="0"/>
        </a:xfrm>
      </xdr:grpSpPr>
      <xdr:cxnSp>
        <xdr:nvCxnSpPr>
          <xdr:cNvPr id="4" name="Shape 4"/>
          <xdr:cNvCxnSpPr/>
        </xdr:nvCxnSpPr>
        <xdr:spPr>
          <a:xfrm>
            <a:off x="5298375" y="3780000"/>
            <a:ext cx="95250" cy="0"/>
          </a:xfrm>
          <a:prstGeom prst="straightConnector1">
            <a:avLst/>
          </a:prstGeom>
          <a:noFill/>
          <a:ln cap="flat" cmpd="sng" w="10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0" width="10.67"/>
    <col customWidth="1" min="21" max="21" width="1.67"/>
    <col customWidth="1" hidden="1" min="22" max="23" width="11.67"/>
    <col customWidth="1" hidden="1" min="24" max="24" width="18.44"/>
    <col customWidth="1" hidden="1" min="25" max="36" width="11.67"/>
    <col customWidth="1" hidden="1" min="37" max="37" width="15.22"/>
    <col customWidth="1" hidden="1" min="38" max="60" width="11.67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6.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  <c r="AJ2" s="2"/>
      <c r="AK2" s="2"/>
      <c r="AL2" s="2"/>
      <c r="AM2" s="2"/>
      <c r="AN2" s="2"/>
      <c r="AO2" s="2"/>
      <c r="AP2" s="2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ht="17.2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6" t="s">
        <v>0</v>
      </c>
      <c r="W3" s="7"/>
      <c r="X3" s="2"/>
      <c r="Y3" s="2"/>
      <c r="Z3" s="2"/>
      <c r="AA3" s="4"/>
      <c r="AB3" s="8"/>
      <c r="AD3" s="8"/>
      <c r="AE3" s="8"/>
      <c r="AF3" s="9"/>
      <c r="AH3" s="4"/>
      <c r="AI3" s="2"/>
      <c r="AJ3" s="2"/>
      <c r="AK3" s="2"/>
      <c r="AL3" s="2"/>
      <c r="AM3" s="2"/>
      <c r="AN3" s="2"/>
      <c r="AO3" s="2"/>
      <c r="AP3" s="2"/>
    </row>
    <row r="4" ht="24.0" customHeight="1">
      <c r="A4" s="1"/>
      <c r="B4" s="10"/>
      <c r="C4" s="11"/>
      <c r="D4" s="11"/>
      <c r="E4" s="3"/>
      <c r="F4" s="10" t="s">
        <v>1</v>
      </c>
      <c r="G4" s="10"/>
      <c r="H4" s="10"/>
      <c r="I4" s="10"/>
      <c r="J4" s="1"/>
      <c r="K4" s="1"/>
      <c r="L4" s="1"/>
      <c r="M4" s="1"/>
      <c r="N4" s="12"/>
      <c r="O4" s="13" t="s">
        <v>2</v>
      </c>
      <c r="P4" s="14"/>
      <c r="Q4" s="15"/>
      <c r="R4" s="16"/>
      <c r="S4" s="1"/>
      <c r="T4" s="1"/>
      <c r="U4" s="1"/>
      <c r="V4" s="17">
        <v>5.0</v>
      </c>
      <c r="W4" s="18">
        <f>MAX(S15:T19)-MIN(S15:T19)</f>
        <v>4.23</v>
      </c>
      <c r="X4" s="2"/>
      <c r="Y4" s="4"/>
      <c r="Z4" s="8"/>
      <c r="AB4" s="8"/>
      <c r="AC4" s="8"/>
      <c r="AD4" s="9"/>
      <c r="AF4" s="4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ht="16.5" customHeight="1">
      <c r="A5" s="1"/>
      <c r="B5" s="3"/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3"/>
      <c r="O5" s="19" t="s">
        <v>3</v>
      </c>
      <c r="P5" s="7"/>
      <c r="Q5" s="20"/>
      <c r="R5" s="21"/>
      <c r="S5" s="1"/>
      <c r="T5" s="1"/>
      <c r="U5" s="1"/>
      <c r="V5" s="17">
        <v>6.0</v>
      </c>
      <c r="W5" s="18">
        <f>MAX(S15:T20)-MIN(S15:T20)</f>
        <v>4.896666667</v>
      </c>
      <c r="X5" s="2"/>
      <c r="Y5" s="4"/>
      <c r="Z5" s="8"/>
      <c r="AB5" s="8"/>
      <c r="AC5" s="8"/>
      <c r="AD5" s="9"/>
      <c r="AF5" s="4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ht="16.5" customHeight="1">
      <c r="A6" s="1"/>
      <c r="B6" s="3"/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3"/>
      <c r="O6" s="19" t="s">
        <v>4</v>
      </c>
      <c r="P6" s="7"/>
      <c r="Q6" s="22">
        <v>0.05</v>
      </c>
      <c r="R6" s="21"/>
      <c r="S6" s="1"/>
      <c r="T6" s="1"/>
      <c r="U6" s="1"/>
      <c r="V6" s="17">
        <v>7.0</v>
      </c>
      <c r="W6" s="18">
        <f>MAX(S15:T21)-MIN(S15:T21)</f>
        <v>5.452222222</v>
      </c>
      <c r="X6" s="2"/>
      <c r="Y6" s="4"/>
      <c r="Z6" s="8"/>
      <c r="AB6" s="8"/>
      <c r="AC6" s="8"/>
      <c r="AD6" s="9"/>
      <c r="AF6" s="4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ht="16.5" customHeight="1">
      <c r="A7" s="1"/>
      <c r="B7" s="3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3"/>
      <c r="O7" s="19" t="s">
        <v>5</v>
      </c>
      <c r="P7" s="7"/>
      <c r="Q7" s="22">
        <v>0.0</v>
      </c>
      <c r="R7" s="21"/>
      <c r="S7" s="1"/>
      <c r="T7" s="1"/>
      <c r="U7" s="1"/>
      <c r="V7" s="17">
        <v>8.0</v>
      </c>
      <c r="W7" s="18">
        <f>MAX(S15:T22)-MIN(S15:T22)</f>
        <v>5.452222222</v>
      </c>
      <c r="X7" s="2"/>
      <c r="Y7" s="2"/>
      <c r="Z7" s="23" t="s">
        <v>6</v>
      </c>
      <c r="AA7" s="24" t="s">
        <v>7</v>
      </c>
      <c r="AB7" s="8"/>
      <c r="AD7" s="8"/>
      <c r="AE7" s="8"/>
      <c r="AF7" s="9"/>
      <c r="AH7" s="4"/>
      <c r="AI7" s="2"/>
      <c r="AJ7" s="2"/>
      <c r="AK7" s="2"/>
      <c r="AL7" s="2"/>
      <c r="AM7" s="2"/>
      <c r="AN7" s="2"/>
      <c r="AO7" s="2"/>
      <c r="AP7" s="2"/>
    </row>
    <row r="8" ht="17.25" customHeight="1">
      <c r="A8" s="1"/>
      <c r="B8" s="3"/>
      <c r="C8" s="3"/>
      <c r="D8" s="3"/>
      <c r="E8" s="3"/>
      <c r="F8" s="3"/>
      <c r="G8" s="3"/>
      <c r="H8" s="3"/>
      <c r="I8" s="3"/>
      <c r="J8" s="1"/>
      <c r="K8" s="1"/>
      <c r="L8" s="1"/>
      <c r="M8" s="1"/>
      <c r="N8" s="3"/>
      <c r="O8" s="19" t="s">
        <v>8</v>
      </c>
      <c r="P8" s="7"/>
      <c r="Q8" s="20" t="s">
        <v>9</v>
      </c>
      <c r="R8" s="21"/>
      <c r="S8" s="1"/>
      <c r="T8" s="1"/>
      <c r="U8" s="1"/>
      <c r="V8" s="17">
        <v>9.0</v>
      </c>
      <c r="W8" s="18">
        <f>MAX(S15:T23)-MIN(S15:T23)</f>
        <v>5.452222222</v>
      </c>
      <c r="X8" s="2"/>
      <c r="Y8" s="2"/>
      <c r="Z8" s="25">
        <v>2.0</v>
      </c>
      <c r="AA8" s="25">
        <v>3.65</v>
      </c>
      <c r="AB8" s="8"/>
      <c r="AD8" s="8"/>
      <c r="AE8" s="8"/>
      <c r="AF8" s="9"/>
      <c r="AH8" s="4"/>
      <c r="AI8" s="2"/>
      <c r="AJ8" s="2"/>
      <c r="AK8" s="2"/>
      <c r="AL8" s="2"/>
      <c r="AM8" s="2"/>
      <c r="AN8" s="2"/>
      <c r="AO8" s="2"/>
      <c r="AP8" s="2"/>
    </row>
    <row r="9" ht="17.25" customHeight="1">
      <c r="A9" s="1"/>
      <c r="B9" s="26" t="s">
        <v>10</v>
      </c>
      <c r="C9" s="27">
        <v>10.0</v>
      </c>
      <c r="D9" s="28" t="s">
        <v>11</v>
      </c>
      <c r="E9" s="27">
        <v>3.0</v>
      </c>
      <c r="F9" s="28" t="s">
        <v>12</v>
      </c>
      <c r="G9" s="29">
        <v>3.0</v>
      </c>
      <c r="H9" s="3"/>
      <c r="I9" s="3"/>
      <c r="J9" s="1"/>
      <c r="K9" s="1"/>
      <c r="L9" s="1"/>
      <c r="M9" s="1"/>
      <c r="N9" s="3"/>
      <c r="O9" s="19" t="s">
        <v>13</v>
      </c>
      <c r="P9" s="7"/>
      <c r="Q9" s="20">
        <v>1.2413267E7</v>
      </c>
      <c r="R9" s="21"/>
      <c r="S9" s="3"/>
      <c r="T9" s="3"/>
      <c r="U9" s="3"/>
      <c r="V9" s="17">
        <v>10.0</v>
      </c>
      <c r="W9" s="18">
        <f>MAX(S15:T24)-MIN(S15:T24)</f>
        <v>5.452222222</v>
      </c>
      <c r="X9" s="4"/>
      <c r="Y9" s="4"/>
      <c r="Z9" s="25">
        <v>3.0</v>
      </c>
      <c r="AA9" s="30">
        <v>2.7</v>
      </c>
      <c r="AB9" s="4"/>
      <c r="AC9" s="4"/>
      <c r="AD9" s="4"/>
      <c r="AE9" s="4"/>
      <c r="AF9" s="4"/>
      <c r="AG9" s="4"/>
      <c r="AH9" s="4"/>
      <c r="AI9" s="2"/>
      <c r="AJ9" s="2"/>
      <c r="AK9" s="2"/>
      <c r="AL9" s="2"/>
      <c r="AM9" s="2"/>
      <c r="AN9" s="2"/>
      <c r="AO9" s="2"/>
      <c r="AP9" s="2"/>
    </row>
    <row r="10" ht="17.25" customHeight="1">
      <c r="A10" s="1"/>
      <c r="B10" s="31" t="str">
        <f>IF(OR(C9&lt;5,C9&gt;10),"샘플수는 반드시 5~10개 이여야 합니다.","")</f>
        <v/>
      </c>
      <c r="C10" s="32"/>
      <c r="D10" s="32"/>
      <c r="E10" s="32"/>
      <c r="F10" s="32"/>
      <c r="G10" s="33"/>
      <c r="H10" s="3"/>
      <c r="I10" s="3"/>
      <c r="J10" s="1"/>
      <c r="K10" s="1"/>
      <c r="L10" s="1"/>
      <c r="M10" s="1"/>
      <c r="N10" s="3"/>
      <c r="O10" s="34" t="s">
        <v>14</v>
      </c>
      <c r="P10" s="35"/>
      <c r="Q10" s="36"/>
      <c r="R10" s="37"/>
      <c r="S10" s="3"/>
      <c r="T10" s="3"/>
      <c r="U10" s="3"/>
      <c r="V10" s="38"/>
      <c r="W10" s="38"/>
      <c r="X10" s="4"/>
      <c r="Y10" s="4"/>
      <c r="Z10" s="25"/>
      <c r="AA10" s="30"/>
      <c r="AB10" s="4"/>
      <c r="AC10" s="4"/>
      <c r="AD10" s="4"/>
      <c r="AE10" s="4"/>
      <c r="AF10" s="4"/>
      <c r="AG10" s="4"/>
      <c r="AH10" s="4"/>
      <c r="AI10" s="2"/>
      <c r="AJ10" s="2"/>
      <c r="AK10" s="2"/>
      <c r="AL10" s="2"/>
      <c r="AM10" s="2"/>
      <c r="AN10" s="2"/>
      <c r="AO10" s="2"/>
      <c r="AP10" s="2"/>
    </row>
    <row r="11" ht="16.5" customHeight="1">
      <c r="A11" s="1"/>
      <c r="B11" s="39" t="str">
        <f>IF(OR(E9&gt;3,E9&lt;2),"측정자수는 반드시 2~3명 이여야 합니다","")</f>
        <v/>
      </c>
      <c r="C11" s="40"/>
      <c r="D11" s="40"/>
      <c r="E11" s="40"/>
      <c r="F11" s="40"/>
      <c r="G11" s="41"/>
      <c r="H11" s="3"/>
      <c r="I11" s="3"/>
      <c r="J11" s="1"/>
      <c r="K11" s="1"/>
      <c r="L11" s="1"/>
      <c r="M11" s="1"/>
      <c r="N11" s="3"/>
      <c r="O11" s="42" t="str">
        <f>IF(OR(Q6="",Q7=""),"공차값을 입력하세요","")</f>
        <v/>
      </c>
      <c r="P11" s="41"/>
      <c r="Q11" s="43"/>
      <c r="R11" s="43"/>
      <c r="S11" s="3"/>
      <c r="T11" s="3"/>
      <c r="U11" s="3"/>
      <c r="V11" s="4"/>
      <c r="W11" s="4"/>
      <c r="X11" s="4"/>
      <c r="Y11" s="4"/>
      <c r="Z11" s="25"/>
      <c r="AA11" s="30"/>
      <c r="AB11" s="4"/>
      <c r="AC11" s="4"/>
      <c r="AD11" s="4"/>
      <c r="AE11" s="4"/>
      <c r="AF11" s="4"/>
      <c r="AG11" s="4"/>
      <c r="AH11" s="4"/>
      <c r="AI11" s="2"/>
      <c r="AJ11" s="2"/>
      <c r="AK11" s="2"/>
      <c r="AL11" s="2"/>
      <c r="AM11" s="2"/>
      <c r="AN11" s="2"/>
      <c r="AO11" s="2"/>
      <c r="AP11" s="2"/>
    </row>
    <row r="12" ht="17.25" customHeight="1">
      <c r="A12" s="1"/>
      <c r="B12" s="44" t="str">
        <f>IF(OR(G9&gt;3,G9&lt;2),"측정횟수는 반드시 2~3번 이여야 합니다","")</f>
        <v/>
      </c>
      <c r="C12" s="40"/>
      <c r="D12" s="40"/>
      <c r="E12" s="40"/>
      <c r="F12" s="40"/>
      <c r="G12" s="4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4"/>
      <c r="Y12" s="4"/>
      <c r="Z12" s="45" t="s">
        <v>12</v>
      </c>
      <c r="AA12" s="46" t="s">
        <v>15</v>
      </c>
      <c r="AB12" s="4"/>
      <c r="AC12" s="4"/>
      <c r="AD12" s="4"/>
      <c r="AE12" s="4"/>
      <c r="AF12" s="4"/>
      <c r="AG12" s="4"/>
      <c r="AH12" s="4"/>
      <c r="AI12" s="2"/>
      <c r="AJ12" s="2"/>
      <c r="AK12" s="2"/>
      <c r="AL12" s="2"/>
      <c r="AM12" s="2"/>
      <c r="AN12" s="2"/>
      <c r="AO12" s="2"/>
      <c r="AP12" s="2"/>
    </row>
    <row r="13" ht="16.5" customHeight="1">
      <c r="A13" s="1"/>
      <c r="B13" s="47" t="s">
        <v>16</v>
      </c>
      <c r="C13" s="48"/>
      <c r="D13" s="49" t="s">
        <v>17</v>
      </c>
      <c r="E13" s="50"/>
      <c r="F13" s="50"/>
      <c r="G13" s="50"/>
      <c r="H13" s="48"/>
      <c r="I13" s="49" t="s">
        <v>18</v>
      </c>
      <c r="J13" s="50"/>
      <c r="K13" s="50"/>
      <c r="L13" s="50"/>
      <c r="M13" s="48"/>
      <c r="N13" s="49" t="s">
        <v>19</v>
      </c>
      <c r="O13" s="50"/>
      <c r="P13" s="50"/>
      <c r="Q13" s="50"/>
      <c r="R13" s="48"/>
      <c r="S13" s="51" t="s">
        <v>20</v>
      </c>
      <c r="T13" s="52"/>
      <c r="U13" s="53"/>
      <c r="V13" s="54" t="s">
        <v>6</v>
      </c>
      <c r="W13" s="7"/>
      <c r="X13" s="4"/>
      <c r="Y13" s="2"/>
      <c r="Z13" s="25">
        <v>2.0</v>
      </c>
      <c r="AA13" s="25">
        <v>4.56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ht="16.5" customHeight="1">
      <c r="A14" s="1"/>
      <c r="B14" s="55" t="s">
        <v>21</v>
      </c>
      <c r="C14" s="56"/>
      <c r="D14" s="57">
        <v>1.0</v>
      </c>
      <c r="E14" s="58">
        <v>2.0</v>
      </c>
      <c r="F14" s="58">
        <v>3.0</v>
      </c>
      <c r="G14" s="58" t="s">
        <v>22</v>
      </c>
      <c r="H14" s="59" t="s">
        <v>23</v>
      </c>
      <c r="I14" s="57">
        <v>1.0</v>
      </c>
      <c r="J14" s="58">
        <v>2.0</v>
      </c>
      <c r="K14" s="58">
        <v>3.0</v>
      </c>
      <c r="L14" s="58" t="s">
        <v>22</v>
      </c>
      <c r="M14" s="59" t="s">
        <v>23</v>
      </c>
      <c r="N14" s="57">
        <v>1.0</v>
      </c>
      <c r="O14" s="58">
        <v>2.0</v>
      </c>
      <c r="P14" s="58">
        <v>3.0</v>
      </c>
      <c r="Q14" s="58" t="s">
        <v>22</v>
      </c>
      <c r="R14" s="59" t="s">
        <v>23</v>
      </c>
      <c r="S14" s="60"/>
      <c r="T14" s="61"/>
      <c r="U14" s="53"/>
      <c r="V14" s="62">
        <v>2.0</v>
      </c>
      <c r="W14" s="62">
        <v>3.0</v>
      </c>
      <c r="X14" s="4"/>
      <c r="Y14" s="2"/>
      <c r="Z14" s="25">
        <v>3.0</v>
      </c>
      <c r="AA14" s="25">
        <v>3.05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ht="16.5" customHeight="1">
      <c r="A15" s="1"/>
      <c r="B15" s="63" t="s">
        <v>24</v>
      </c>
      <c r="C15" s="64">
        <v>1.0</v>
      </c>
      <c r="D15" s="65">
        <v>16.02</v>
      </c>
      <c r="E15" s="66">
        <v>16.03</v>
      </c>
      <c r="F15" s="66">
        <v>16.02</v>
      </c>
      <c r="G15" s="67">
        <f t="shared" ref="G15:G24" si="1">IFERROR(AVERAGE(D15:F15),"")</f>
        <v>16.02333333</v>
      </c>
      <c r="H15" s="68">
        <f t="shared" ref="H15:H24" si="2">IFERROR(MAX(D15:F15)-MIN(D15:F15),"")</f>
        <v>0.01</v>
      </c>
      <c r="I15" s="65">
        <v>5.0</v>
      </c>
      <c r="J15" s="66">
        <v>6.0</v>
      </c>
      <c r="K15" s="66">
        <v>5.0</v>
      </c>
      <c r="L15" s="67">
        <f t="shared" ref="L15:L24" si="3">IFERROR(AVERAGE(I15:K15),"")</f>
        <v>5.333333333</v>
      </c>
      <c r="M15" s="68">
        <f t="shared" ref="M15:M24" si="4">IFERROR(MAX(I15:K15)-MIN(I15:K15),"")</f>
        <v>1</v>
      </c>
      <c r="N15" s="65">
        <v>5.0</v>
      </c>
      <c r="O15" s="66">
        <v>6.0</v>
      </c>
      <c r="P15" s="66">
        <v>5.0</v>
      </c>
      <c r="Q15" s="67">
        <f t="shared" ref="Q15:Q24" si="5">IFERROR(AVERAGE(N15:P15),"")</f>
        <v>5.333333333</v>
      </c>
      <c r="R15" s="68">
        <f t="shared" ref="R15:R24" si="6">IF($E$9=2,"",MAX(N15:P15)-MIN(N15:P15))</f>
        <v>1</v>
      </c>
      <c r="S15" s="69">
        <f>IFERROR(HLOOKUP($E$9,$V$14:$W$24,2),"")</f>
        <v>8.896666667</v>
      </c>
      <c r="T15" s="56"/>
      <c r="U15" s="70"/>
      <c r="V15" s="71">
        <f t="shared" ref="V15:V24" si="7">IFERROR(AVERAGE(G15,L15),"")</f>
        <v>10.67833333</v>
      </c>
      <c r="W15" s="71">
        <f t="shared" ref="W15:W24" si="8">IFERROR(AVERAGE(G15,L15,Q15),"")</f>
        <v>8.896666667</v>
      </c>
      <c r="X15" s="4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ht="16.5" customHeight="1">
      <c r="A16" s="1"/>
      <c r="B16" s="72"/>
      <c r="C16" s="64">
        <v>2.0</v>
      </c>
      <c r="D16" s="65">
        <v>5.0</v>
      </c>
      <c r="E16" s="66">
        <v>4.0</v>
      </c>
      <c r="F16" s="66">
        <v>3.0</v>
      </c>
      <c r="G16" s="67">
        <f t="shared" si="1"/>
        <v>4</v>
      </c>
      <c r="H16" s="68">
        <f t="shared" si="2"/>
        <v>2</v>
      </c>
      <c r="I16" s="65">
        <v>5.0</v>
      </c>
      <c r="J16" s="66">
        <v>4.0</v>
      </c>
      <c r="K16" s="66">
        <v>3.0</v>
      </c>
      <c r="L16" s="67">
        <f t="shared" si="3"/>
        <v>4</v>
      </c>
      <c r="M16" s="68">
        <f t="shared" si="4"/>
        <v>2</v>
      </c>
      <c r="N16" s="65">
        <v>5.0</v>
      </c>
      <c r="O16" s="66">
        <v>4.0</v>
      </c>
      <c r="P16" s="66">
        <v>9.0</v>
      </c>
      <c r="Q16" s="67">
        <f t="shared" si="5"/>
        <v>6</v>
      </c>
      <c r="R16" s="68">
        <f t="shared" si="6"/>
        <v>5</v>
      </c>
      <c r="S16" s="69">
        <f>IFERROR(HLOOKUP($E$9,$V$14:$W$24,3),"")</f>
        <v>4.666666667</v>
      </c>
      <c r="T16" s="56"/>
      <c r="U16" s="70"/>
      <c r="V16" s="71">
        <f t="shared" si="7"/>
        <v>4</v>
      </c>
      <c r="W16" s="71">
        <f t="shared" si="8"/>
        <v>4.666666667</v>
      </c>
      <c r="X16" s="4"/>
      <c r="Y16" s="2"/>
      <c r="Z16" s="45" t="s">
        <v>25</v>
      </c>
      <c r="AA16" s="46" t="s">
        <v>26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ht="16.5" customHeight="1">
      <c r="A17" s="1"/>
      <c r="B17" s="72"/>
      <c r="C17" s="64">
        <v>3.0</v>
      </c>
      <c r="D17" s="65">
        <v>5.0</v>
      </c>
      <c r="E17" s="66">
        <v>6.0</v>
      </c>
      <c r="F17" s="66">
        <v>7.0</v>
      </c>
      <c r="G17" s="67">
        <f t="shared" si="1"/>
        <v>6</v>
      </c>
      <c r="H17" s="68">
        <f t="shared" si="2"/>
        <v>2</v>
      </c>
      <c r="I17" s="65">
        <v>5.0</v>
      </c>
      <c r="J17" s="66">
        <v>6.0</v>
      </c>
      <c r="K17" s="66">
        <v>7.0</v>
      </c>
      <c r="L17" s="67">
        <f t="shared" si="3"/>
        <v>6</v>
      </c>
      <c r="M17" s="68">
        <f t="shared" si="4"/>
        <v>2</v>
      </c>
      <c r="N17" s="65">
        <v>5.0</v>
      </c>
      <c r="O17" s="66">
        <v>6.0</v>
      </c>
      <c r="P17" s="66">
        <v>7.0</v>
      </c>
      <c r="Q17" s="67">
        <f t="shared" si="5"/>
        <v>6</v>
      </c>
      <c r="R17" s="68">
        <f t="shared" si="6"/>
        <v>2</v>
      </c>
      <c r="S17" s="69">
        <f>IFERROR(HLOOKUP($E$9,$V$14:$W$24,4),"")</f>
        <v>6</v>
      </c>
      <c r="T17" s="56"/>
      <c r="U17" s="70"/>
      <c r="V17" s="71">
        <f t="shared" si="7"/>
        <v>6</v>
      </c>
      <c r="W17" s="71">
        <f t="shared" si="8"/>
        <v>6</v>
      </c>
      <c r="X17" s="4"/>
      <c r="Y17" s="2"/>
      <c r="Z17" s="73">
        <v>5.0</v>
      </c>
      <c r="AA17" s="73">
        <v>2.08</v>
      </c>
      <c r="AB17" s="2"/>
      <c r="AC17" s="2"/>
      <c r="AD17" s="2"/>
      <c r="AE17" s="2"/>
      <c r="AF17" s="74" t="s">
        <v>27</v>
      </c>
      <c r="AG17" s="38" t="s">
        <v>28</v>
      </c>
      <c r="AH17" s="38"/>
      <c r="AI17" s="2"/>
      <c r="AJ17" s="74" t="s">
        <v>27</v>
      </c>
      <c r="AK17" s="75" t="s">
        <v>29</v>
      </c>
      <c r="AL17" s="2"/>
      <c r="AM17" s="74" t="s">
        <v>27</v>
      </c>
      <c r="AN17" s="76" t="s">
        <v>30</v>
      </c>
      <c r="AO17" s="2"/>
      <c r="AP17" s="2"/>
    </row>
    <row r="18" ht="16.5" customHeight="1">
      <c r="A18" s="1"/>
      <c r="B18" s="72"/>
      <c r="C18" s="64">
        <v>4.0</v>
      </c>
      <c r="D18" s="65">
        <v>5.0</v>
      </c>
      <c r="E18" s="66">
        <v>20.0</v>
      </c>
      <c r="F18" s="66">
        <v>1.0</v>
      </c>
      <c r="G18" s="67">
        <f t="shared" si="1"/>
        <v>8.666666667</v>
      </c>
      <c r="H18" s="68">
        <f t="shared" si="2"/>
        <v>19</v>
      </c>
      <c r="I18" s="65">
        <v>5.0</v>
      </c>
      <c r="J18" s="66">
        <v>5.0</v>
      </c>
      <c r="K18" s="66">
        <v>6.0</v>
      </c>
      <c r="L18" s="67">
        <f t="shared" si="3"/>
        <v>5.333333333</v>
      </c>
      <c r="M18" s="68">
        <f t="shared" si="4"/>
        <v>1</v>
      </c>
      <c r="N18" s="65">
        <v>5.0</v>
      </c>
      <c r="O18" s="66">
        <v>5.0</v>
      </c>
      <c r="P18" s="66">
        <v>6.0</v>
      </c>
      <c r="Q18" s="67">
        <f t="shared" si="5"/>
        <v>5.333333333</v>
      </c>
      <c r="R18" s="68">
        <f t="shared" si="6"/>
        <v>1</v>
      </c>
      <c r="S18" s="69">
        <f>IFERROR(HLOOKUP($E$9,$V$14:$W$24,5),"")</f>
        <v>6.444444444</v>
      </c>
      <c r="T18" s="56"/>
      <c r="U18" s="70"/>
      <c r="V18" s="71">
        <f t="shared" si="7"/>
        <v>7</v>
      </c>
      <c r="W18" s="71">
        <f t="shared" si="8"/>
        <v>6.444444444</v>
      </c>
      <c r="X18" s="4"/>
      <c r="Y18" s="2"/>
      <c r="Z18" s="73">
        <v>6.0</v>
      </c>
      <c r="AA18" s="73">
        <v>1.93</v>
      </c>
      <c r="AB18" s="2"/>
      <c r="AC18" s="2"/>
      <c r="AD18" s="2"/>
      <c r="AE18" s="2"/>
      <c r="AF18" s="77">
        <v>2.0</v>
      </c>
      <c r="AG18" s="78">
        <f>AVERAGE(D25,I25)</f>
        <v>5.467833333</v>
      </c>
      <c r="AH18" s="79"/>
      <c r="AI18" s="2"/>
      <c r="AJ18" s="77">
        <v>2.0</v>
      </c>
      <c r="AK18" s="78">
        <f>MAX(D25,I25)-MIN(D25,I25)</f>
        <v>1.269</v>
      </c>
      <c r="AL18" s="2"/>
      <c r="AM18" s="77">
        <v>2.0</v>
      </c>
      <c r="AN18" s="78">
        <f>AVERAGE(D26,I26)</f>
        <v>2.5505</v>
      </c>
      <c r="AO18" s="2"/>
      <c r="AP18" s="2"/>
    </row>
    <row r="19" ht="16.5" customHeight="1">
      <c r="A19" s="1"/>
      <c r="B19" s="72"/>
      <c r="C19" s="64">
        <v>5.0</v>
      </c>
      <c r="D19" s="65">
        <v>6.0</v>
      </c>
      <c r="E19" s="66">
        <v>6.0</v>
      </c>
      <c r="F19" s="66">
        <v>5.0</v>
      </c>
      <c r="G19" s="67">
        <f t="shared" si="1"/>
        <v>5.666666667</v>
      </c>
      <c r="H19" s="68">
        <f t="shared" si="2"/>
        <v>1</v>
      </c>
      <c r="I19" s="65">
        <v>6.0</v>
      </c>
      <c r="J19" s="66">
        <v>6.0</v>
      </c>
      <c r="K19" s="66">
        <v>5.0</v>
      </c>
      <c r="L19" s="67">
        <f t="shared" si="3"/>
        <v>5.666666667</v>
      </c>
      <c r="M19" s="68">
        <f t="shared" si="4"/>
        <v>1</v>
      </c>
      <c r="N19" s="65">
        <v>6.0</v>
      </c>
      <c r="O19" s="66">
        <v>7.0</v>
      </c>
      <c r="P19" s="66">
        <v>5.0</v>
      </c>
      <c r="Q19" s="67">
        <f t="shared" si="5"/>
        <v>6</v>
      </c>
      <c r="R19" s="68">
        <f t="shared" si="6"/>
        <v>2</v>
      </c>
      <c r="S19" s="69">
        <f>IFERROR(HLOOKUP($E$9,$V$14:$W$24,6),"")</f>
        <v>5.777777778</v>
      </c>
      <c r="T19" s="56"/>
      <c r="U19" s="70"/>
      <c r="V19" s="71">
        <f t="shared" si="7"/>
        <v>5.666666667</v>
      </c>
      <c r="W19" s="71">
        <f t="shared" si="8"/>
        <v>5.777777778</v>
      </c>
      <c r="X19" s="4"/>
      <c r="Y19" s="2"/>
      <c r="Z19" s="73">
        <v>7.0</v>
      </c>
      <c r="AA19" s="73">
        <v>1.82</v>
      </c>
      <c r="AB19" s="2"/>
      <c r="AC19" s="2"/>
      <c r="AD19" s="2"/>
      <c r="AE19" s="2"/>
      <c r="AF19" s="77">
        <v>3.0</v>
      </c>
      <c r="AG19" s="78">
        <f>AVERAGE(D25,I25,N25)</f>
        <v>5.289666667</v>
      </c>
      <c r="AH19" s="79"/>
      <c r="AI19" s="2"/>
      <c r="AJ19" s="77">
        <v>3.0</v>
      </c>
      <c r="AK19" s="78">
        <f>MAX(D25,I25,N25)-MIN(D25,I25,N25)</f>
        <v>1.269</v>
      </c>
      <c r="AL19" s="2"/>
      <c r="AM19" s="77">
        <v>3.0</v>
      </c>
      <c r="AN19" s="78">
        <f>AVERAGE(D26,I26,N26)</f>
        <v>2.333666667</v>
      </c>
      <c r="AO19" s="2"/>
      <c r="AP19" s="2"/>
    </row>
    <row r="20" ht="16.5" customHeight="1">
      <c r="A20" s="1"/>
      <c r="B20" s="72"/>
      <c r="C20" s="64">
        <v>6.0</v>
      </c>
      <c r="D20" s="65">
        <v>5.0</v>
      </c>
      <c r="E20" s="66">
        <v>4.0</v>
      </c>
      <c r="F20" s="66">
        <v>3.0</v>
      </c>
      <c r="G20" s="67">
        <f t="shared" si="1"/>
        <v>4</v>
      </c>
      <c r="H20" s="68">
        <f t="shared" si="2"/>
        <v>2</v>
      </c>
      <c r="I20" s="65">
        <v>5.0</v>
      </c>
      <c r="J20" s="66">
        <v>4.0</v>
      </c>
      <c r="K20" s="66">
        <v>3.0</v>
      </c>
      <c r="L20" s="67">
        <f t="shared" si="3"/>
        <v>4</v>
      </c>
      <c r="M20" s="68">
        <f t="shared" si="4"/>
        <v>2</v>
      </c>
      <c r="N20" s="65">
        <v>5.0</v>
      </c>
      <c r="O20" s="66">
        <v>4.0</v>
      </c>
      <c r="P20" s="66">
        <v>3.0</v>
      </c>
      <c r="Q20" s="67">
        <f t="shared" si="5"/>
        <v>4</v>
      </c>
      <c r="R20" s="68">
        <f t="shared" si="6"/>
        <v>2</v>
      </c>
      <c r="S20" s="69">
        <f>IFERROR(HLOOKUP($E$9,$V$14:$W$24,7),"")</f>
        <v>4</v>
      </c>
      <c r="T20" s="56"/>
      <c r="U20" s="70"/>
      <c r="V20" s="71">
        <f t="shared" si="7"/>
        <v>4</v>
      </c>
      <c r="W20" s="71">
        <f t="shared" si="8"/>
        <v>4</v>
      </c>
      <c r="X20" s="4"/>
      <c r="Y20" s="2"/>
      <c r="Z20" s="73">
        <v>8.0</v>
      </c>
      <c r="AA20" s="73">
        <v>1.74</v>
      </c>
      <c r="AB20" s="2"/>
      <c r="AC20" s="2"/>
      <c r="AD20" s="2"/>
      <c r="AE20" s="2"/>
      <c r="AF20" s="79"/>
      <c r="AG20" s="79"/>
      <c r="AH20" s="79"/>
      <c r="AI20" s="2"/>
      <c r="AJ20" s="2"/>
      <c r="AK20" s="2"/>
      <c r="AL20" s="2"/>
      <c r="AM20" s="2"/>
      <c r="AN20" s="2"/>
      <c r="AO20" s="2"/>
      <c r="AP20" s="2"/>
    </row>
    <row r="21" ht="16.5" customHeight="1">
      <c r="A21" s="1"/>
      <c r="B21" s="72"/>
      <c r="C21" s="64">
        <v>7.0</v>
      </c>
      <c r="D21" s="65">
        <v>3.0</v>
      </c>
      <c r="E21" s="66">
        <v>3.0</v>
      </c>
      <c r="F21" s="66">
        <v>3.0</v>
      </c>
      <c r="G21" s="67">
        <f t="shared" si="1"/>
        <v>3</v>
      </c>
      <c r="H21" s="68">
        <f t="shared" si="2"/>
        <v>0</v>
      </c>
      <c r="I21" s="65">
        <v>3.0</v>
      </c>
      <c r="J21" s="66">
        <v>3.0</v>
      </c>
      <c r="K21" s="66">
        <v>7.0</v>
      </c>
      <c r="L21" s="67">
        <f t="shared" si="3"/>
        <v>4.333333333</v>
      </c>
      <c r="M21" s="68">
        <f t="shared" si="4"/>
        <v>4</v>
      </c>
      <c r="N21" s="65">
        <v>3.0</v>
      </c>
      <c r="O21" s="66">
        <v>3.0</v>
      </c>
      <c r="P21" s="66">
        <v>3.0</v>
      </c>
      <c r="Q21" s="67">
        <f t="shared" si="5"/>
        <v>3</v>
      </c>
      <c r="R21" s="68">
        <f t="shared" si="6"/>
        <v>0</v>
      </c>
      <c r="S21" s="69">
        <f>IFERROR(HLOOKUP($E$9,$V$14:$W$24,8),"")</f>
        <v>3.444444444</v>
      </c>
      <c r="T21" s="56"/>
      <c r="U21" s="70"/>
      <c r="V21" s="71">
        <f t="shared" si="7"/>
        <v>3.666666667</v>
      </c>
      <c r="W21" s="71">
        <f t="shared" si="8"/>
        <v>3.444444444</v>
      </c>
      <c r="X21" s="4"/>
      <c r="Y21" s="2"/>
      <c r="Z21" s="80">
        <v>9.0</v>
      </c>
      <c r="AA21" s="73">
        <v>1.67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ht="16.5" customHeight="1">
      <c r="A22" s="1"/>
      <c r="B22" s="72"/>
      <c r="C22" s="64">
        <v>8.0</v>
      </c>
      <c r="D22" s="65">
        <v>5.0</v>
      </c>
      <c r="E22" s="66">
        <v>5.0</v>
      </c>
      <c r="F22" s="66">
        <v>6.0</v>
      </c>
      <c r="G22" s="67">
        <f t="shared" si="1"/>
        <v>5.333333333</v>
      </c>
      <c r="H22" s="68">
        <f t="shared" si="2"/>
        <v>1</v>
      </c>
      <c r="I22" s="65">
        <v>5.0</v>
      </c>
      <c r="J22" s="66">
        <v>5.0</v>
      </c>
      <c r="K22" s="66">
        <v>6.0</v>
      </c>
      <c r="L22" s="67">
        <f t="shared" si="3"/>
        <v>5.333333333</v>
      </c>
      <c r="M22" s="68">
        <f t="shared" si="4"/>
        <v>1</v>
      </c>
      <c r="N22" s="65">
        <v>5.0</v>
      </c>
      <c r="O22" s="66">
        <v>5.0</v>
      </c>
      <c r="P22" s="66">
        <v>6.0</v>
      </c>
      <c r="Q22" s="67">
        <f t="shared" si="5"/>
        <v>5.333333333</v>
      </c>
      <c r="R22" s="68">
        <f t="shared" si="6"/>
        <v>1</v>
      </c>
      <c r="S22" s="69">
        <f>IFERROR(HLOOKUP($E$9,$V$14:$W$24,9),"")</f>
        <v>5.333333333</v>
      </c>
      <c r="T22" s="56"/>
      <c r="U22" s="70"/>
      <c r="V22" s="71">
        <f t="shared" si="7"/>
        <v>5.333333333</v>
      </c>
      <c r="W22" s="71">
        <f t="shared" si="8"/>
        <v>5.333333333</v>
      </c>
      <c r="X22" s="4"/>
      <c r="Y22" s="2"/>
      <c r="Z22" s="73">
        <v>10.0</v>
      </c>
      <c r="AA22" s="73">
        <v>1.62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ht="16.5" customHeight="1">
      <c r="A23" s="1"/>
      <c r="B23" s="72"/>
      <c r="C23" s="64">
        <v>9.0</v>
      </c>
      <c r="D23" s="65">
        <v>4.0</v>
      </c>
      <c r="E23" s="66">
        <v>5.0</v>
      </c>
      <c r="F23" s="66">
        <v>3.0</v>
      </c>
      <c r="G23" s="67">
        <f t="shared" si="1"/>
        <v>4</v>
      </c>
      <c r="H23" s="68">
        <f t="shared" si="2"/>
        <v>2</v>
      </c>
      <c r="I23" s="65">
        <v>4.0</v>
      </c>
      <c r="J23" s="66">
        <v>5.0</v>
      </c>
      <c r="K23" s="66">
        <v>3.0</v>
      </c>
      <c r="L23" s="67">
        <f t="shared" si="3"/>
        <v>4</v>
      </c>
      <c r="M23" s="68">
        <f t="shared" si="4"/>
        <v>2</v>
      </c>
      <c r="N23" s="65">
        <v>4.0</v>
      </c>
      <c r="O23" s="66">
        <v>5.0</v>
      </c>
      <c r="P23" s="66">
        <v>3.0</v>
      </c>
      <c r="Q23" s="67">
        <f t="shared" si="5"/>
        <v>4</v>
      </c>
      <c r="R23" s="68">
        <f t="shared" si="6"/>
        <v>2</v>
      </c>
      <c r="S23" s="69">
        <f>IFERROR(HLOOKUP($E$9,$V$14:$W$24,10),"")</f>
        <v>4</v>
      </c>
      <c r="T23" s="56"/>
      <c r="U23" s="70"/>
      <c r="V23" s="71">
        <f t="shared" si="7"/>
        <v>4</v>
      </c>
      <c r="W23" s="71">
        <f t="shared" si="8"/>
        <v>4</v>
      </c>
      <c r="X23" s="4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ht="16.5" customHeight="1">
      <c r="A24" s="1"/>
      <c r="B24" s="72"/>
      <c r="C24" s="64">
        <v>10.0</v>
      </c>
      <c r="D24" s="65">
        <v>3.0</v>
      </c>
      <c r="E24" s="66">
        <v>4.0</v>
      </c>
      <c r="F24" s="66">
        <v>6.0</v>
      </c>
      <c r="G24" s="67">
        <f t="shared" si="1"/>
        <v>4.333333333</v>
      </c>
      <c r="H24" s="68">
        <f t="shared" si="2"/>
        <v>3</v>
      </c>
      <c r="I24" s="65">
        <v>3.0</v>
      </c>
      <c r="J24" s="66">
        <v>4.0</v>
      </c>
      <c r="K24" s="66">
        <v>6.0</v>
      </c>
      <c r="L24" s="67">
        <f t="shared" si="3"/>
        <v>4.333333333</v>
      </c>
      <c r="M24" s="68">
        <f t="shared" si="4"/>
        <v>3</v>
      </c>
      <c r="N24" s="65">
        <v>3.0</v>
      </c>
      <c r="O24" s="66">
        <v>4.0</v>
      </c>
      <c r="P24" s="66">
        <v>6.0</v>
      </c>
      <c r="Q24" s="67">
        <f t="shared" si="5"/>
        <v>4.333333333</v>
      </c>
      <c r="R24" s="68">
        <f t="shared" si="6"/>
        <v>3</v>
      </c>
      <c r="S24" s="69">
        <f>IFERROR(HLOOKUP($E$9,$V$14:$W$24,11),"")</f>
        <v>4.333333333</v>
      </c>
      <c r="T24" s="56"/>
      <c r="U24" s="70"/>
      <c r="V24" s="71">
        <f t="shared" si="7"/>
        <v>4.333333333</v>
      </c>
      <c r="W24" s="71">
        <f t="shared" si="8"/>
        <v>4.333333333</v>
      </c>
      <c r="X24" s="4"/>
      <c r="Y24" s="2"/>
      <c r="Z24" s="81" t="s">
        <v>31</v>
      </c>
      <c r="AA24" s="46" t="s">
        <v>32</v>
      </c>
      <c r="AB24" s="46" t="s">
        <v>33</v>
      </c>
      <c r="AC24" s="46" t="s">
        <v>34</v>
      </c>
      <c r="AD24" s="82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2"/>
      <c r="AP24" s="2"/>
    </row>
    <row r="25" ht="18.0" customHeight="1">
      <c r="A25" s="1"/>
      <c r="B25" s="72"/>
      <c r="C25" s="64" t="s">
        <v>22</v>
      </c>
      <c r="D25" s="69">
        <f>IFERROR(AVERAGE(D15:F24),"")</f>
        <v>6.102333333</v>
      </c>
      <c r="E25" s="84"/>
      <c r="F25" s="85"/>
      <c r="G25" s="86"/>
      <c r="H25" s="87"/>
      <c r="I25" s="69">
        <f>IFERROR(AVERAGE(I15:K24),"")</f>
        <v>4.833333333</v>
      </c>
      <c r="J25" s="84"/>
      <c r="K25" s="85"/>
      <c r="L25" s="86"/>
      <c r="M25" s="87"/>
      <c r="N25" s="69">
        <f>IFERROR(AVERAGE(N15:P24),"")</f>
        <v>4.933333333</v>
      </c>
      <c r="O25" s="84"/>
      <c r="P25" s="85"/>
      <c r="Q25" s="86"/>
      <c r="R25" s="87"/>
      <c r="S25" s="88" t="s">
        <v>35</v>
      </c>
      <c r="T25" s="89">
        <f>IFERROR(VLOOKUP(E9,AJ18:AK19,2),"")</f>
        <v>1.269</v>
      </c>
      <c r="U25" s="90"/>
      <c r="V25" s="91"/>
      <c r="W25" s="92"/>
      <c r="X25" s="4"/>
      <c r="Y25" s="2"/>
      <c r="Z25" s="73">
        <v>2.0</v>
      </c>
      <c r="AA25" s="93">
        <v>1.88</v>
      </c>
      <c r="AB25" s="73">
        <v>0.0</v>
      </c>
      <c r="AC25" s="93">
        <v>3.267</v>
      </c>
      <c r="AD25" s="94"/>
      <c r="AE25" s="41"/>
      <c r="AF25" s="83"/>
      <c r="AG25" s="83"/>
      <c r="AH25" s="83"/>
      <c r="AI25" s="83"/>
      <c r="AJ25" s="83"/>
      <c r="AK25" s="83"/>
      <c r="AL25" s="83"/>
      <c r="AM25" s="83"/>
      <c r="AN25" s="83"/>
      <c r="AO25" s="2"/>
      <c r="AP25" s="2"/>
    </row>
    <row r="26" ht="18.0" customHeight="1">
      <c r="A26" s="1"/>
      <c r="B26" s="95"/>
      <c r="C26" s="96" t="s">
        <v>23</v>
      </c>
      <c r="D26" s="97">
        <f>AVERAGE(H15:H24)</f>
        <v>3.201</v>
      </c>
      <c r="E26" s="98"/>
      <c r="F26" s="99"/>
      <c r="G26" s="100"/>
      <c r="H26" s="101"/>
      <c r="I26" s="97">
        <f>AVERAGE(M15:M24)</f>
        <v>1.9</v>
      </c>
      <c r="J26" s="98"/>
      <c r="K26" s="99"/>
      <c r="L26" s="100"/>
      <c r="M26" s="101"/>
      <c r="N26" s="102">
        <f>IFERROR(AVERAGE(R15:R24),"")</f>
        <v>1.9</v>
      </c>
      <c r="O26" s="98"/>
      <c r="P26" s="99"/>
      <c r="Q26" s="100"/>
      <c r="R26" s="101"/>
      <c r="S26" s="103" t="s">
        <v>36</v>
      </c>
      <c r="T26" s="104">
        <f>IFERROR(VLOOKUP(E9,AM18:AN19,2),"")</f>
        <v>2.333666667</v>
      </c>
      <c r="U26" s="90"/>
      <c r="V26" s="105"/>
      <c r="W26" s="105"/>
      <c r="X26" s="4"/>
      <c r="Y26" s="2"/>
      <c r="Z26" s="73">
        <v>3.0</v>
      </c>
      <c r="AA26" s="93">
        <v>1.023</v>
      </c>
      <c r="AB26" s="73">
        <v>0.0</v>
      </c>
      <c r="AC26" s="93">
        <v>2.574</v>
      </c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2"/>
      <c r="AP26" s="2"/>
    </row>
    <row r="27" ht="19.5" customHeight="1">
      <c r="A27" s="1"/>
      <c r="B27" s="107" t="s">
        <v>37</v>
      </c>
      <c r="C27" s="108"/>
      <c r="D27" s="109">
        <f>IF(AC34&lt;=0.05,Y47,Y65)</f>
        <v>0</v>
      </c>
      <c r="E27" s="110" t="str">
        <f>IF(D27&lt;5,"샘플간 편차를 증가시킬 필요 있음, 재 샘플링 할 것","")</f>
        <v>샘플간 편차를 증가시킬 필요 있음, 재 샘플링 할 것</v>
      </c>
      <c r="F27" s="111"/>
      <c r="G27" s="111"/>
      <c r="H27" s="111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3" t="s">
        <v>38</v>
      </c>
      <c r="T27" s="114">
        <f>IFERROR(VLOOKUP(E9,AF18:AG19,2),"")</f>
        <v>5.289666667</v>
      </c>
      <c r="U27" s="90"/>
      <c r="V27" s="105"/>
      <c r="W27" s="105"/>
      <c r="X27" s="4"/>
      <c r="Y27" s="2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15"/>
      <c r="AN27" s="106"/>
      <c r="AO27" s="106"/>
      <c r="AP27" s="2"/>
    </row>
    <row r="28" ht="18.75" customHeight="1">
      <c r="A28" s="1"/>
      <c r="B28" s="116" t="s">
        <v>39</v>
      </c>
      <c r="C28" s="32"/>
      <c r="D28" s="117"/>
      <c r="E28" s="118" t="s">
        <v>40</v>
      </c>
      <c r="F28" s="118" t="s">
        <v>41</v>
      </c>
      <c r="G28" s="119" t="s">
        <v>42</v>
      </c>
      <c r="H28" s="120" t="s">
        <v>43</v>
      </c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21" t="s">
        <v>44</v>
      </c>
      <c r="T28" s="122">
        <f>IFERROR(VLOOKUP(C9,V4:W9,2),"")</f>
        <v>5.452222222</v>
      </c>
      <c r="U28" s="90"/>
      <c r="V28" s="105"/>
      <c r="W28" s="105"/>
      <c r="X28" s="4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106"/>
      <c r="AJ28" s="106"/>
      <c r="AK28" s="106"/>
      <c r="AL28" s="106"/>
      <c r="AM28" s="115"/>
      <c r="AN28" s="106"/>
      <c r="AO28" s="106"/>
      <c r="AP28" s="2"/>
    </row>
    <row r="29" ht="18.75" customHeight="1">
      <c r="A29" s="1"/>
      <c r="B29" s="123" t="s">
        <v>45</v>
      </c>
      <c r="C29" s="124"/>
      <c r="D29" s="7"/>
      <c r="E29" s="125">
        <f>IF(AC34&lt;=0.05,AA40,AA59)</f>
        <v>0.5280214725</v>
      </c>
      <c r="F29" s="125">
        <f>IF(AC34&lt;=0.05,AB40,AB59)</f>
        <v>218.2261075</v>
      </c>
      <c r="G29" s="126" t="s">
        <v>46</v>
      </c>
      <c r="H29" s="127" t="str">
        <f t="shared" ref="H29:H30" si="9">IF(F29&lt;=0.2,"OK","NG")</f>
        <v>NG</v>
      </c>
      <c r="I29" s="128" t="str">
        <f>IF(H29="NG","장비의 측정편차 발생, 장비 점검 및 검교정 실시 할 것","")</f>
        <v>장비의 측정편차 발생, 장비 점검 및 검교정 실시 할 것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129"/>
      <c r="W29" s="129"/>
      <c r="X29" s="4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106"/>
      <c r="AJ29" s="2"/>
      <c r="AK29" s="2"/>
      <c r="AL29" s="2"/>
      <c r="AM29" s="2"/>
      <c r="AN29" s="2"/>
      <c r="AO29" s="2"/>
      <c r="AP29" s="2"/>
    </row>
    <row r="30" ht="18.75" customHeight="1">
      <c r="A30" s="1"/>
      <c r="B30" s="123" t="s">
        <v>47</v>
      </c>
      <c r="C30" s="124"/>
      <c r="D30" s="7"/>
      <c r="E30" s="125">
        <f>IF(AC34&lt;=0.05,AA41,AA60)</f>
        <v>0.3387199401</v>
      </c>
      <c r="F30" s="125">
        <f>IF(AC34&lt;=0.05,AB41,AB60)</f>
        <v>174.7838479</v>
      </c>
      <c r="G30" s="126" t="s">
        <v>46</v>
      </c>
      <c r="H30" s="127" t="str">
        <f t="shared" si="9"/>
        <v>NG</v>
      </c>
      <c r="I30" s="128" t="str">
        <f>IF(H30="NG","측정자간 편차 발생, 측정자 눈높이 교육 실시할 것","")</f>
        <v>측정자간 편차 발생, 측정자 눈높이 교육 실시할 것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129"/>
      <c r="W30" s="129"/>
      <c r="X30" s="130" t="s">
        <v>48</v>
      </c>
      <c r="Y30" s="131"/>
      <c r="Z30" s="131"/>
      <c r="AA30" s="131"/>
      <c r="AB30" s="131"/>
      <c r="AC30" s="132"/>
      <c r="AD30" s="106"/>
      <c r="AE30" s="106"/>
      <c r="AF30" s="106"/>
      <c r="AG30" s="106"/>
      <c r="AH30" s="106"/>
      <c r="AI30" s="106"/>
      <c r="AJ30" s="106"/>
      <c r="AK30" s="115"/>
      <c r="AL30" s="106"/>
      <c r="AM30" s="106"/>
      <c r="AN30" s="2"/>
      <c r="AO30" s="2"/>
      <c r="AP30" s="2"/>
    </row>
    <row r="31" ht="18.75" customHeight="1">
      <c r="A31" s="1"/>
      <c r="B31" s="123" t="s">
        <v>49</v>
      </c>
      <c r="C31" s="124"/>
      <c r="D31" s="7"/>
      <c r="E31" s="125">
        <f>IF(AC34&lt;=0.05,AA45,AA63)</f>
        <v>0.8667414126</v>
      </c>
      <c r="F31" s="125">
        <f>IF(AC34&lt;=0.05,AB45,AB63)</f>
        <v>279.5926099</v>
      </c>
      <c r="G31" s="126" t="s">
        <v>50</v>
      </c>
      <c r="H31" s="127" t="str">
        <f>IF(F31&lt;=0.3,"OK","NG")</f>
        <v>NG</v>
      </c>
      <c r="I31" s="133" t="str">
        <f>IF(H31="NG","전반적인 측정 시스템 불량, 장비 보정 및 측정자 재교육 실시할 것","")</f>
        <v>전반적인 측정 시스템 불량, 장비 보정 및 측정자 재교육 실시할 것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4"/>
      <c r="X31" s="134"/>
      <c r="Y31" s="134" t="s">
        <v>51</v>
      </c>
      <c r="Z31" s="134" t="s">
        <v>52</v>
      </c>
      <c r="AA31" s="134" t="s">
        <v>53</v>
      </c>
      <c r="AB31" s="134" t="s">
        <v>54</v>
      </c>
      <c r="AC31" s="134" t="s">
        <v>55</v>
      </c>
      <c r="AD31" s="106"/>
      <c r="AE31" s="106"/>
      <c r="AF31" s="106"/>
      <c r="AG31" s="106"/>
      <c r="AH31" s="106"/>
      <c r="AI31" s="83"/>
      <c r="AJ31" s="83"/>
      <c r="AK31" s="115"/>
      <c r="AL31" s="106"/>
      <c r="AM31" s="106"/>
      <c r="AN31" s="2"/>
      <c r="AO31" s="2"/>
      <c r="AP31" s="2"/>
    </row>
    <row r="32" ht="18.75" customHeight="1">
      <c r="A32" s="1"/>
      <c r="B32" s="123" t="s">
        <v>56</v>
      </c>
      <c r="C32" s="124"/>
      <c r="D32" s="7"/>
      <c r="E32" s="125">
        <f>IF(AC34&lt;=0.05,AA44,AA62)</f>
        <v>0.1332585874</v>
      </c>
      <c r="F32" s="125">
        <f>IF(AC34&lt;=0.05,AB44,AB62)</f>
        <v>109.6297735</v>
      </c>
      <c r="G32" s="135"/>
      <c r="H32" s="136"/>
      <c r="I32" s="137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9"/>
      <c r="W32" s="139"/>
      <c r="X32" s="134" t="s">
        <v>57</v>
      </c>
      <c r="Y32" s="140">
        <f>SUMSQ(AI33:AI42)/(E9*G9)-AF32</f>
        <v>208.10449</v>
      </c>
      <c r="Z32" s="141">
        <f>C9-1</f>
        <v>9</v>
      </c>
      <c r="AA32" s="140">
        <f t="shared" ref="AA32:AA36" si="10">Y32/Z32</f>
        <v>23.12272111</v>
      </c>
      <c r="AB32" s="140">
        <f>AA32/AA34</f>
        <v>1.788738394</v>
      </c>
      <c r="AC32" s="140">
        <f>FDIST(AB32,Z32,Z34)</f>
        <v>0.1403906562</v>
      </c>
      <c r="AD32" s="106"/>
      <c r="AE32" s="142" t="s">
        <v>58</v>
      </c>
      <c r="AF32" s="143">
        <f>AI43^2/(C9*E9*G9)</f>
        <v>2518.25161</v>
      </c>
      <c r="AG32" s="106"/>
      <c r="AH32" s="106"/>
      <c r="AI32" s="83" t="s">
        <v>59</v>
      </c>
      <c r="AJ32" s="144"/>
      <c r="AK32" s="115" t="s">
        <v>60</v>
      </c>
      <c r="AL32" s="115"/>
      <c r="AM32" s="106"/>
      <c r="AN32" s="2"/>
      <c r="AO32" s="2"/>
      <c r="AP32" s="2"/>
    </row>
    <row r="33" ht="18.75" customHeight="1">
      <c r="A33" s="1"/>
      <c r="B33" s="145" t="s">
        <v>61</v>
      </c>
      <c r="C33" s="146"/>
      <c r="D33" s="35"/>
      <c r="E33" s="147" t="str">
        <f>IFERROR(#REF!/#REF!,"")</f>
        <v/>
      </c>
      <c r="F33" s="147"/>
      <c r="G33" s="148"/>
      <c r="H33" s="14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134" t="s">
        <v>62</v>
      </c>
      <c r="Y33" s="140">
        <f>SUMSQ(AI47:AI49)/(C9*G9)-AF32</f>
        <v>29.86922</v>
      </c>
      <c r="Z33" s="141">
        <f>E9-1</f>
        <v>2</v>
      </c>
      <c r="AA33" s="140">
        <f t="shared" si="10"/>
        <v>14.93461</v>
      </c>
      <c r="AB33" s="140">
        <f t="shared" ref="AB33:AB34" si="11">AA33/AA34</f>
        <v>1.155318623</v>
      </c>
      <c r="AC33" s="140">
        <f t="shared" ref="AC33:AC34" si="12">FDIST(AB33,Z33,Z34)</f>
        <v>0.3372411795</v>
      </c>
      <c r="AD33" s="106"/>
      <c r="AE33" s="142" t="s">
        <v>63</v>
      </c>
      <c r="AF33" s="143">
        <f>(SUMSQ(AK33:AM42)/G9)-AF32</f>
        <v>470.65669</v>
      </c>
      <c r="AG33" s="106"/>
      <c r="AH33" s="106">
        <v>1.0</v>
      </c>
      <c r="AI33" s="150">
        <f t="shared" ref="AI33:AI42" si="13">SUM(D15:F15,I15:K15,N15:P15)</f>
        <v>80.07</v>
      </c>
      <c r="AJ33" s="144"/>
      <c r="AK33" s="151">
        <f t="shared" ref="AK33:AK42" si="14">SUM(D15:F15)</f>
        <v>48.07</v>
      </c>
      <c r="AL33" s="151">
        <f t="shared" ref="AL33:AL42" si="15">SUM(I15:K15)</f>
        <v>16</v>
      </c>
      <c r="AM33" s="150">
        <f t="shared" ref="AM33:AM42" si="16">SUM(N15:P15)</f>
        <v>16</v>
      </c>
      <c r="AN33" s="2"/>
      <c r="AO33" s="2"/>
      <c r="AP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134" t="s">
        <v>64</v>
      </c>
      <c r="Y34" s="140">
        <f>AF33-Y32-Y33</f>
        <v>232.68298</v>
      </c>
      <c r="Z34" s="141">
        <f>Z32*Z33</f>
        <v>18</v>
      </c>
      <c r="AA34" s="140">
        <f t="shared" si="10"/>
        <v>12.92683222</v>
      </c>
      <c r="AB34" s="140">
        <f t="shared" si="11"/>
        <v>2.879739139</v>
      </c>
      <c r="AC34" s="140">
        <f t="shared" si="12"/>
        <v>0.001119310136</v>
      </c>
      <c r="AD34" s="106"/>
      <c r="AE34" s="106"/>
      <c r="AF34" s="106"/>
      <c r="AG34" s="106"/>
      <c r="AH34" s="106">
        <v>2.0</v>
      </c>
      <c r="AI34" s="150">
        <f t="shared" si="13"/>
        <v>42</v>
      </c>
      <c r="AJ34" s="150"/>
      <c r="AK34" s="151">
        <f t="shared" si="14"/>
        <v>12</v>
      </c>
      <c r="AL34" s="151">
        <f t="shared" si="15"/>
        <v>12</v>
      </c>
      <c r="AM34" s="150">
        <f t="shared" si="16"/>
        <v>18</v>
      </c>
      <c r="AN34" s="2"/>
      <c r="AO34" s="2"/>
      <c r="AP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152" t="s">
        <v>65</v>
      </c>
      <c r="Y35" s="140">
        <f t="shared" ref="Y35:Z35" si="17">Y36-Y32-Y33-Y34</f>
        <v>269.3334</v>
      </c>
      <c r="Z35" s="141">
        <f t="shared" si="17"/>
        <v>60</v>
      </c>
      <c r="AA35" s="140">
        <f t="shared" si="10"/>
        <v>4.48889</v>
      </c>
      <c r="AB35" s="140"/>
      <c r="AC35" s="140"/>
      <c r="AD35" s="106"/>
      <c r="AE35" s="106"/>
      <c r="AF35" s="106"/>
      <c r="AG35" s="106"/>
      <c r="AH35" s="106">
        <v>3.0</v>
      </c>
      <c r="AI35" s="150">
        <f t="shared" si="13"/>
        <v>54</v>
      </c>
      <c r="AJ35" s="150"/>
      <c r="AK35" s="151">
        <f t="shared" si="14"/>
        <v>18</v>
      </c>
      <c r="AL35" s="151">
        <f t="shared" si="15"/>
        <v>18</v>
      </c>
      <c r="AM35" s="150">
        <f t="shared" si="16"/>
        <v>18</v>
      </c>
      <c r="AN35" s="2"/>
      <c r="AO35" s="2"/>
      <c r="AP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153" t="s">
        <v>66</v>
      </c>
      <c r="Y36" s="140">
        <f>SUMSQ(D15:F24,I15:K24,N15:P24)-AF32</f>
        <v>739.99009</v>
      </c>
      <c r="Z36" s="141">
        <f>C9*E9*G9-1</f>
        <v>89</v>
      </c>
      <c r="AA36" s="140">
        <f t="shared" si="10"/>
        <v>8.314495393</v>
      </c>
      <c r="AB36" s="140"/>
      <c r="AC36" s="140"/>
      <c r="AD36" s="106"/>
      <c r="AE36" s="106"/>
      <c r="AF36" s="106"/>
      <c r="AG36" s="106"/>
      <c r="AH36" s="106">
        <v>4.0</v>
      </c>
      <c r="AI36" s="150">
        <f t="shared" si="13"/>
        <v>58</v>
      </c>
      <c r="AJ36" s="150"/>
      <c r="AK36" s="151">
        <f t="shared" si="14"/>
        <v>26</v>
      </c>
      <c r="AL36" s="151">
        <f t="shared" si="15"/>
        <v>16</v>
      </c>
      <c r="AM36" s="150">
        <f t="shared" si="16"/>
        <v>16</v>
      </c>
      <c r="AN36" s="2"/>
      <c r="AO36" s="2"/>
      <c r="AP36" s="2"/>
    </row>
    <row r="37" ht="18.75" customHeight="1">
      <c r="A37" s="1"/>
      <c r="B37" s="15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155"/>
      <c r="Y37" s="155"/>
      <c r="Z37" s="155"/>
      <c r="AA37" s="155"/>
      <c r="AB37" s="155"/>
      <c r="AC37" s="155"/>
      <c r="AD37" s="106"/>
      <c r="AE37" s="106"/>
      <c r="AF37" s="106"/>
      <c r="AG37" s="106"/>
      <c r="AH37" s="106">
        <v>5.0</v>
      </c>
      <c r="AI37" s="150">
        <f t="shared" si="13"/>
        <v>52</v>
      </c>
      <c r="AJ37" s="150"/>
      <c r="AK37" s="151">
        <f t="shared" si="14"/>
        <v>17</v>
      </c>
      <c r="AL37" s="151">
        <f t="shared" si="15"/>
        <v>17</v>
      </c>
      <c r="AM37" s="150">
        <f t="shared" si="16"/>
        <v>18</v>
      </c>
      <c r="AN37" s="2"/>
      <c r="AO37" s="2"/>
      <c r="AP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156" t="s">
        <v>67</v>
      </c>
      <c r="Y38" s="40"/>
      <c r="Z38" s="40"/>
      <c r="AA38" s="40"/>
      <c r="AB38" s="40"/>
      <c r="AC38" s="41"/>
      <c r="AD38" s="106"/>
      <c r="AE38" s="106"/>
      <c r="AF38" s="106"/>
      <c r="AG38" s="106"/>
      <c r="AH38" s="106">
        <v>6.0</v>
      </c>
      <c r="AI38" s="150">
        <f t="shared" si="13"/>
        <v>36</v>
      </c>
      <c r="AJ38" s="150"/>
      <c r="AK38" s="151">
        <f t="shared" si="14"/>
        <v>12</v>
      </c>
      <c r="AL38" s="151">
        <f t="shared" si="15"/>
        <v>12</v>
      </c>
      <c r="AM38" s="150">
        <f t="shared" si="16"/>
        <v>12</v>
      </c>
      <c r="AN38" s="2"/>
      <c r="AO38" s="2"/>
      <c r="AP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134"/>
      <c r="Y39" s="134" t="s">
        <v>68</v>
      </c>
      <c r="Z39" s="134" t="s">
        <v>69</v>
      </c>
      <c r="AA39" s="134" t="s">
        <v>70</v>
      </c>
      <c r="AB39" s="134" t="s">
        <v>71</v>
      </c>
      <c r="AC39" s="155"/>
      <c r="AD39" s="106"/>
      <c r="AE39" s="106"/>
      <c r="AF39" s="106"/>
      <c r="AG39" s="106"/>
      <c r="AH39" s="106">
        <v>7.0</v>
      </c>
      <c r="AI39" s="150">
        <f t="shared" si="13"/>
        <v>31</v>
      </c>
      <c r="AJ39" s="150"/>
      <c r="AK39" s="151">
        <f t="shared" si="14"/>
        <v>9</v>
      </c>
      <c r="AL39" s="151">
        <f t="shared" si="15"/>
        <v>13</v>
      </c>
      <c r="AM39" s="150">
        <f t="shared" si="16"/>
        <v>9</v>
      </c>
      <c r="AN39" s="2"/>
      <c r="AO39" s="2"/>
      <c r="AP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157" t="s">
        <v>72</v>
      </c>
      <c r="Y40" s="140">
        <f>AA35</f>
        <v>4.48889</v>
      </c>
      <c r="Z40" s="140">
        <f t="shared" ref="Z40:Z46" si="18">SQRT(Y40)</f>
        <v>2.118700073</v>
      </c>
      <c r="AA40" s="158">
        <f t="shared" ref="AA40:AA46" si="19">Y40/$Y$46</f>
        <v>0.5280214725</v>
      </c>
      <c r="AB40" s="158">
        <f t="shared" ref="AB40:AB46" si="20">(Z40*5.15)/($Q$6-$Q$7)</f>
        <v>218.2261075</v>
      </c>
      <c r="AC40" s="159"/>
      <c r="AD40" s="106"/>
      <c r="AE40" s="106"/>
      <c r="AF40" s="106"/>
      <c r="AG40" s="106"/>
      <c r="AH40" s="106">
        <v>8.0</v>
      </c>
      <c r="AI40" s="150">
        <f t="shared" si="13"/>
        <v>48</v>
      </c>
      <c r="AJ40" s="150"/>
      <c r="AK40" s="151">
        <f t="shared" si="14"/>
        <v>16</v>
      </c>
      <c r="AL40" s="151">
        <f t="shared" si="15"/>
        <v>16</v>
      </c>
      <c r="AM40" s="150">
        <f t="shared" si="16"/>
        <v>16</v>
      </c>
      <c r="AN40" s="2"/>
      <c r="AO40" s="2"/>
      <c r="AP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157" t="s">
        <v>73</v>
      </c>
      <c r="Y41" s="140">
        <f>Y42+Y43</f>
        <v>2.879573333</v>
      </c>
      <c r="Z41" s="140">
        <f t="shared" si="18"/>
        <v>1.696930562</v>
      </c>
      <c r="AA41" s="158">
        <f t="shared" si="19"/>
        <v>0.3387199401</v>
      </c>
      <c r="AB41" s="158">
        <f t="shared" si="20"/>
        <v>174.7838479</v>
      </c>
      <c r="AC41" s="159"/>
      <c r="AD41" s="106"/>
      <c r="AE41" s="106"/>
      <c r="AF41" s="106"/>
      <c r="AG41" s="106"/>
      <c r="AH41" s="106">
        <v>9.0</v>
      </c>
      <c r="AI41" s="150">
        <f t="shared" si="13"/>
        <v>36</v>
      </c>
      <c r="AJ41" s="150"/>
      <c r="AK41" s="151">
        <f t="shared" si="14"/>
        <v>12</v>
      </c>
      <c r="AL41" s="151">
        <f t="shared" si="15"/>
        <v>12</v>
      </c>
      <c r="AM41" s="150">
        <f t="shared" si="16"/>
        <v>12</v>
      </c>
      <c r="AN41" s="2"/>
      <c r="AO41" s="2"/>
      <c r="AP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157" t="s">
        <v>74</v>
      </c>
      <c r="Y42" s="140">
        <f>IF((AA33-AA34)/(C9*G9)&lt;0,0,(AA33-AA34)/(C9*G9))</f>
        <v>0.06692592593</v>
      </c>
      <c r="Z42" s="140">
        <f t="shared" si="18"/>
        <v>0.258700456</v>
      </c>
      <c r="AA42" s="158">
        <f t="shared" si="19"/>
        <v>0.007872397398</v>
      </c>
      <c r="AB42" s="158">
        <f t="shared" si="20"/>
        <v>26.64614697</v>
      </c>
      <c r="AC42" s="159"/>
      <c r="AD42" s="106"/>
      <c r="AE42" s="106"/>
      <c r="AF42" s="106"/>
      <c r="AG42" s="106"/>
      <c r="AH42" s="106">
        <v>10.0</v>
      </c>
      <c r="AI42" s="150">
        <f t="shared" si="13"/>
        <v>39</v>
      </c>
      <c r="AJ42" s="150"/>
      <c r="AK42" s="151">
        <f t="shared" si="14"/>
        <v>13</v>
      </c>
      <c r="AL42" s="151">
        <f t="shared" si="15"/>
        <v>13</v>
      </c>
      <c r="AM42" s="150">
        <f t="shared" si="16"/>
        <v>13</v>
      </c>
      <c r="AN42" s="2"/>
      <c r="AO42" s="2"/>
      <c r="AP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157" t="s">
        <v>75</v>
      </c>
      <c r="Y43" s="140">
        <f>IF((AA34-AA35)/G9&lt;0,0,(AA34-AA35)/G9)</f>
        <v>2.812647407</v>
      </c>
      <c r="Z43" s="140">
        <f t="shared" si="18"/>
        <v>1.677094931</v>
      </c>
      <c r="AA43" s="158">
        <f t="shared" si="19"/>
        <v>0.3308475427</v>
      </c>
      <c r="AB43" s="158">
        <f t="shared" si="20"/>
        <v>172.7407779</v>
      </c>
      <c r="AC43" s="159"/>
      <c r="AD43" s="106"/>
      <c r="AE43" s="106"/>
      <c r="AF43" s="106"/>
      <c r="AG43" s="106"/>
      <c r="AH43" s="106" t="s">
        <v>76</v>
      </c>
      <c r="AI43" s="150">
        <f>SUM(AI33:AI42)</f>
        <v>476.07</v>
      </c>
      <c r="AJ43" s="150"/>
      <c r="AK43" s="115"/>
      <c r="AL43" s="115"/>
      <c r="AM43" s="106"/>
      <c r="AN43" s="2"/>
      <c r="AO43" s="2"/>
      <c r="AP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157" t="s">
        <v>77</v>
      </c>
      <c r="Y44" s="140">
        <f>IF((AA32-AA34)/(E9*G9)&lt;0,0,(AA32-AA34)/(E9*G9))</f>
        <v>1.132876543</v>
      </c>
      <c r="Z44" s="140">
        <f t="shared" si="18"/>
        <v>1.064366733</v>
      </c>
      <c r="AA44" s="158">
        <f t="shared" si="19"/>
        <v>0.1332585874</v>
      </c>
      <c r="AB44" s="158">
        <f t="shared" si="20"/>
        <v>109.6297735</v>
      </c>
      <c r="AC44" s="159"/>
      <c r="AD44" s="106"/>
      <c r="AE44" s="106"/>
      <c r="AF44" s="106"/>
      <c r="AG44" s="106"/>
      <c r="AH44" s="106"/>
      <c r="AI44" s="83"/>
      <c r="AJ44" s="83"/>
      <c r="AK44" s="115"/>
      <c r="AL44" s="115"/>
      <c r="AM44" s="106"/>
      <c r="AN44" s="2"/>
      <c r="AO44" s="2"/>
      <c r="AP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157" t="s">
        <v>78</v>
      </c>
      <c r="Y45" s="140">
        <f>Y41+Y40</f>
        <v>7.368463333</v>
      </c>
      <c r="Z45" s="140">
        <f t="shared" si="18"/>
        <v>2.714491358</v>
      </c>
      <c r="AA45" s="158">
        <f t="shared" si="19"/>
        <v>0.8667414126</v>
      </c>
      <c r="AB45" s="158">
        <f t="shared" si="20"/>
        <v>279.5926099</v>
      </c>
      <c r="AC45" s="159"/>
      <c r="AD45" s="106"/>
      <c r="AE45" s="106"/>
      <c r="AF45" s="106"/>
      <c r="AG45" s="106"/>
      <c r="AH45" s="106"/>
      <c r="AI45" s="106"/>
      <c r="AJ45" s="106"/>
      <c r="AK45" s="115"/>
      <c r="AL45" s="115"/>
      <c r="AM45" s="106"/>
      <c r="AN45" s="2"/>
      <c r="AO45" s="2"/>
      <c r="AP45" s="2"/>
    </row>
    <row r="46" ht="6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157" t="s">
        <v>66</v>
      </c>
      <c r="Y46" s="140">
        <f>Y44+Y45</f>
        <v>8.501339877</v>
      </c>
      <c r="Z46" s="140">
        <f t="shared" si="18"/>
        <v>2.915705725</v>
      </c>
      <c r="AA46" s="158">
        <f t="shared" si="19"/>
        <v>1</v>
      </c>
      <c r="AB46" s="158">
        <f t="shared" si="20"/>
        <v>300.3176897</v>
      </c>
      <c r="AC46" s="159"/>
      <c r="AD46" s="106"/>
      <c r="AE46" s="106"/>
      <c r="AF46" s="106"/>
      <c r="AG46" s="106"/>
      <c r="AH46" s="106"/>
      <c r="AI46" s="106"/>
      <c r="AJ46" s="106"/>
      <c r="AK46" s="115"/>
      <c r="AL46" s="115"/>
      <c r="AM46" s="106"/>
      <c r="AN46" s="2"/>
      <c r="AO46" s="2"/>
      <c r="AP46" s="2"/>
    </row>
    <row r="47" customHeight="1">
      <c r="V47" s="2"/>
      <c r="W47" s="2"/>
      <c r="X47" s="160" t="s">
        <v>79</v>
      </c>
      <c r="Y47" s="155">
        <f>ROUNDDOWN(SQRT((Y44/Y46)*2),0)</f>
        <v>0</v>
      </c>
      <c r="Z47" s="161"/>
      <c r="AA47" s="155"/>
      <c r="AB47" s="155"/>
      <c r="AC47" s="155"/>
      <c r="AD47" s="106"/>
      <c r="AE47" s="106"/>
      <c r="AF47" s="106"/>
      <c r="AG47" s="106"/>
      <c r="AH47" s="106">
        <v>1.0</v>
      </c>
      <c r="AI47" s="162">
        <f>SUM(D15:F24)</f>
        <v>183.07</v>
      </c>
      <c r="AJ47" s="106"/>
      <c r="AK47" s="115"/>
      <c r="AL47" s="115"/>
      <c r="AM47" s="106"/>
      <c r="AN47" s="2"/>
      <c r="AO47" s="2"/>
      <c r="AP47" s="2"/>
    </row>
    <row r="48" customHeight="1">
      <c r="V48" s="2"/>
      <c r="W48" s="2"/>
      <c r="X48" s="106"/>
      <c r="Y48" s="106"/>
      <c r="Z48" s="161"/>
      <c r="AA48" s="106"/>
      <c r="AB48" s="106"/>
      <c r="AC48" s="106"/>
      <c r="AD48" s="106"/>
      <c r="AE48" s="106"/>
      <c r="AF48" s="106"/>
      <c r="AG48" s="106"/>
      <c r="AH48" s="106">
        <v>2.0</v>
      </c>
      <c r="AI48" s="162">
        <f>SUM(I15:K24)</f>
        <v>145</v>
      </c>
      <c r="AJ48" s="83"/>
      <c r="AK48" s="115"/>
      <c r="AL48" s="115"/>
      <c r="AM48" s="106"/>
      <c r="AN48" s="2"/>
      <c r="AO48" s="2"/>
      <c r="AP48" s="2"/>
    </row>
    <row r="49" customHeight="1">
      <c r="V49" s="2"/>
      <c r="W49" s="2"/>
      <c r="X49" s="130" t="s">
        <v>80</v>
      </c>
      <c r="Y49" s="131"/>
      <c r="Z49" s="131"/>
      <c r="AA49" s="131"/>
      <c r="AB49" s="131"/>
      <c r="AC49" s="132"/>
      <c r="AD49" s="106"/>
      <c r="AE49" s="106"/>
      <c r="AF49" s="106"/>
      <c r="AG49" s="106"/>
      <c r="AH49" s="106">
        <v>3.0</v>
      </c>
      <c r="AI49" s="162">
        <f>SUM(N15:P24)</f>
        <v>148</v>
      </c>
      <c r="AJ49" s="106"/>
      <c r="AK49" s="115"/>
      <c r="AL49" s="115"/>
      <c r="AM49" s="106"/>
      <c r="AN49" s="2"/>
      <c r="AO49" s="2"/>
      <c r="AP49" s="2"/>
    </row>
    <row r="50" customHeight="1">
      <c r="V50" s="2"/>
      <c r="W50" s="2"/>
      <c r="X50" s="134"/>
      <c r="Y50" s="134" t="s">
        <v>51</v>
      </c>
      <c r="Z50" s="134" t="s">
        <v>52</v>
      </c>
      <c r="AA50" s="134" t="s">
        <v>53</v>
      </c>
      <c r="AB50" s="134" t="s">
        <v>54</v>
      </c>
      <c r="AC50" s="134" t="s">
        <v>55</v>
      </c>
      <c r="AD50" s="106"/>
      <c r="AE50" s="106"/>
      <c r="AF50" s="106"/>
      <c r="AG50" s="106"/>
      <c r="AH50" s="106"/>
      <c r="AI50" s="106"/>
      <c r="AJ50" s="106"/>
      <c r="AK50" s="115"/>
      <c r="AL50" s="115"/>
      <c r="AM50" s="106"/>
      <c r="AN50" s="106"/>
      <c r="AO50" s="106"/>
      <c r="AP50" s="106"/>
      <c r="AQ50" s="163"/>
      <c r="AR50" s="163"/>
      <c r="AS50" s="163"/>
      <c r="AT50" s="163"/>
      <c r="AU50" s="163"/>
      <c r="AV50" s="163"/>
      <c r="AW50" s="164"/>
      <c r="AX50" s="164"/>
      <c r="AY50" s="163"/>
    </row>
    <row r="51" customHeight="1">
      <c r="X51" s="134" t="s">
        <v>57</v>
      </c>
      <c r="Y51" s="140">
        <f>SUMSQ(AI33:AI42)/(E9*G9)-AF32</f>
        <v>208.10449</v>
      </c>
      <c r="Z51" s="141">
        <f>C9-1</f>
        <v>9</v>
      </c>
      <c r="AA51" s="140">
        <f t="shared" ref="AA51:AA53" si="21">Y51/Z51</f>
        <v>23.12272111</v>
      </c>
      <c r="AB51" s="140">
        <f>AA51/AA53</f>
        <v>3.592656173</v>
      </c>
      <c r="AC51" s="140">
        <f>FDIST(AB51,Z51,Z53)</f>
        <v>0.0008778238394</v>
      </c>
      <c r="AI51" s="165"/>
      <c r="AJ51" s="165"/>
    </row>
    <row r="52" customHeight="1">
      <c r="X52" s="134" t="s">
        <v>62</v>
      </c>
      <c r="Y52" s="140">
        <f>SUMSQ(AI47:AI49)/(C9*G9)-AF32</f>
        <v>29.86922</v>
      </c>
      <c r="Z52" s="141">
        <f>E9-1</f>
        <v>2</v>
      </c>
      <c r="AA52" s="140">
        <f t="shared" si="21"/>
        <v>14.93461</v>
      </c>
      <c r="AB52" s="140">
        <f>AA52/AA53</f>
        <v>2.320441377</v>
      </c>
      <c r="AC52" s="140">
        <f>FDIST(AB52,Z52,Z53)</f>
        <v>0.1049751609</v>
      </c>
      <c r="AI52" s="165"/>
      <c r="AJ52" s="165"/>
    </row>
    <row r="53" customHeight="1">
      <c r="X53" s="134" t="s">
        <v>81</v>
      </c>
      <c r="Y53" s="140">
        <f t="shared" ref="Y53:Z53" si="22">Y35+Y34</f>
        <v>502.01638</v>
      </c>
      <c r="Z53" s="141">
        <f t="shared" si="22"/>
        <v>78</v>
      </c>
      <c r="AA53" s="140">
        <f t="shared" si="21"/>
        <v>6.436107436</v>
      </c>
      <c r="AB53" s="140"/>
      <c r="AC53" s="140"/>
      <c r="AI53" s="165"/>
      <c r="AJ53" s="165"/>
    </row>
    <row r="54" customHeight="1">
      <c r="X54" s="153" t="s">
        <v>82</v>
      </c>
      <c r="Y54" s="140">
        <f>SUMSQ(D15:F24,I15:K24,N15:P24)-AF32</f>
        <v>739.99009</v>
      </c>
      <c r="Z54" s="141">
        <f>C9*E9*G9-1</f>
        <v>89</v>
      </c>
      <c r="AA54" s="140"/>
      <c r="AB54" s="140"/>
      <c r="AC54" s="140"/>
      <c r="AI54" s="165"/>
      <c r="AJ54" s="165"/>
    </row>
    <row r="55" customHeight="1">
      <c r="X55" s="115"/>
      <c r="Y55" s="161"/>
      <c r="Z55" s="166"/>
      <c r="AA55" s="161"/>
      <c r="AB55" s="161"/>
      <c r="AC55" s="161"/>
      <c r="AI55" s="165"/>
      <c r="AJ55" s="165"/>
    </row>
    <row r="56" customHeight="1">
      <c r="X56" s="5"/>
      <c r="Z56" s="161"/>
      <c r="AI56" s="165"/>
      <c r="AJ56" s="165"/>
    </row>
    <row r="57" customHeight="1">
      <c r="X57" s="156" t="s">
        <v>83</v>
      </c>
      <c r="Y57" s="40"/>
      <c r="Z57" s="40"/>
      <c r="AA57" s="40"/>
      <c r="AB57" s="40"/>
      <c r="AC57" s="41"/>
      <c r="AI57" s="165"/>
      <c r="AJ57" s="165"/>
    </row>
    <row r="58" customHeight="1">
      <c r="X58" s="134"/>
      <c r="Y58" s="134" t="s">
        <v>84</v>
      </c>
      <c r="Z58" s="134" t="s">
        <v>69</v>
      </c>
      <c r="AA58" s="134" t="s">
        <v>70</v>
      </c>
      <c r="AB58" s="134" t="s">
        <v>71</v>
      </c>
      <c r="AC58" s="155"/>
      <c r="AI58" s="165"/>
      <c r="AJ58" s="165"/>
    </row>
    <row r="59" customHeight="1">
      <c r="X59" s="157" t="s">
        <v>72</v>
      </c>
      <c r="Y59" s="140">
        <f>AA53</f>
        <v>6.436107436</v>
      </c>
      <c r="Z59" s="140">
        <f t="shared" ref="Z59:Z64" si="23">SQRT(Y59)</f>
        <v>2.53694845</v>
      </c>
      <c r="AA59" s="158">
        <f t="shared" ref="AA59:AA64" si="24">Y59/$Y$64</f>
        <v>0.7507013686</v>
      </c>
      <c r="AB59" s="158">
        <f t="shared" ref="AB59:AB64" si="25">(Z59*5.15)/($Q$6-$Q$7)</f>
        <v>261.3056903</v>
      </c>
      <c r="AC59" s="159"/>
      <c r="AI59" s="165"/>
      <c r="AJ59" s="165"/>
    </row>
    <row r="60" customHeight="1">
      <c r="C60" s="165"/>
      <c r="D60" s="167" t="s">
        <v>85</v>
      </c>
      <c r="E60" s="40"/>
      <c r="F60" s="40"/>
      <c r="G60" s="40"/>
      <c r="H60" s="41"/>
      <c r="I60" s="163"/>
      <c r="J60" s="167" t="s">
        <v>86</v>
      </c>
      <c r="K60" s="40"/>
      <c r="L60" s="41"/>
      <c r="X60" s="157" t="s">
        <v>73</v>
      </c>
      <c r="Y60" s="140">
        <f>Y61</f>
        <v>0.2832834188</v>
      </c>
      <c r="Z60" s="140">
        <f t="shared" si="23"/>
        <v>0.5322437588</v>
      </c>
      <c r="AA60" s="158">
        <f t="shared" si="24"/>
        <v>0.03304190496</v>
      </c>
      <c r="AB60" s="158">
        <f t="shared" si="25"/>
        <v>54.82110716</v>
      </c>
      <c r="AC60" s="159"/>
      <c r="AD60" s="165"/>
      <c r="AE60" s="165"/>
      <c r="AF60" s="168"/>
      <c r="AG60" s="165"/>
      <c r="AH60" s="165"/>
      <c r="AI60" s="165"/>
      <c r="AJ60" s="165"/>
    </row>
    <row r="61" customHeight="1">
      <c r="C61" s="168" t="s">
        <v>87</v>
      </c>
      <c r="D61" s="168" t="s">
        <v>88</v>
      </c>
      <c r="E61" s="168" t="s">
        <v>89</v>
      </c>
      <c r="F61" s="168" t="s">
        <v>90</v>
      </c>
      <c r="G61" s="168" t="s">
        <v>91</v>
      </c>
      <c r="H61" s="168" t="s">
        <v>92</v>
      </c>
      <c r="I61" s="168"/>
      <c r="J61" s="168" t="s">
        <v>93</v>
      </c>
      <c r="K61" s="168" t="s">
        <v>94</v>
      </c>
      <c r="L61" s="168" t="s">
        <v>91</v>
      </c>
      <c r="X61" s="157" t="s">
        <v>74</v>
      </c>
      <c r="Y61" s="140">
        <f>IF((AA52-AA53)/(C9*G9)&lt;0,0,(AA52-AA53)/(C9*G9))</f>
        <v>0.2832834188</v>
      </c>
      <c r="Z61" s="140">
        <f t="shared" si="23"/>
        <v>0.5322437588</v>
      </c>
      <c r="AA61" s="158">
        <f t="shared" si="24"/>
        <v>0.03304190496</v>
      </c>
      <c r="AB61" s="158">
        <f t="shared" si="25"/>
        <v>54.82110716</v>
      </c>
      <c r="AC61" s="159"/>
      <c r="AD61" s="165"/>
      <c r="AE61" s="165"/>
      <c r="AF61" s="168"/>
      <c r="AG61" s="165"/>
      <c r="AH61" s="165"/>
      <c r="AI61" s="165"/>
      <c r="AJ61" s="165"/>
    </row>
    <row r="62" customHeight="1">
      <c r="C62" s="168">
        <v>1.0</v>
      </c>
      <c r="D62" s="168">
        <f t="shared" ref="D62:D71" si="26">IFERROR(G15,0)</f>
        <v>16.02333333</v>
      </c>
      <c r="E62" s="169">
        <f t="shared" ref="E62:E91" si="27">$T$27</f>
        <v>5.289666667</v>
      </c>
      <c r="F62" s="168">
        <f t="shared" ref="F62:F91" si="28">(G62+H62)/2</f>
        <v>5.289666667</v>
      </c>
      <c r="G62" s="169">
        <f t="shared" ref="G62:G91" si="29">E62+(VLOOKUP($G$9,$Z$25:$AA$26,2)*$T$26)</f>
        <v>7.677007667</v>
      </c>
      <c r="H62" s="169">
        <f t="shared" ref="H62:H91" si="30">E62-(VLOOKUP($G$9,$Z$25:$AA$26,2)*$T$26)</f>
        <v>2.902325667</v>
      </c>
      <c r="I62" s="168"/>
      <c r="J62" s="170">
        <f t="shared" ref="J62:J71" si="31">H15</f>
        <v>0.01</v>
      </c>
      <c r="K62" s="169">
        <f t="shared" ref="K62:K91" si="32">$T$26</f>
        <v>2.333666667</v>
      </c>
      <c r="L62" s="169">
        <f t="shared" ref="L62:L91" si="33">K62+VLOOKUP($G$9,$Z$25:$AC$26,4)*$T$26</f>
        <v>8.340524667</v>
      </c>
      <c r="X62" s="157" t="s">
        <v>77</v>
      </c>
      <c r="Y62" s="140">
        <f>IF((AA51-AA53)/(E9*G9)&lt;0,0,(AA51-AA53)/(E9*G9))</f>
        <v>1.854068186</v>
      </c>
      <c r="Z62" s="140">
        <f t="shared" si="23"/>
        <v>1.361641725</v>
      </c>
      <c r="AA62" s="158">
        <f t="shared" si="24"/>
        <v>0.2162567264</v>
      </c>
      <c r="AB62" s="158">
        <f t="shared" si="25"/>
        <v>140.2490976</v>
      </c>
      <c r="AC62" s="159"/>
      <c r="AD62" s="165"/>
      <c r="AE62" s="165"/>
      <c r="AF62" s="168"/>
      <c r="AG62" s="165"/>
      <c r="AH62" s="165"/>
      <c r="AI62" s="165"/>
      <c r="AJ62" s="165"/>
    </row>
    <row r="63" customHeight="1">
      <c r="C63" s="168"/>
      <c r="D63" s="168">
        <f t="shared" si="26"/>
        <v>4</v>
      </c>
      <c r="E63" s="169">
        <f t="shared" si="27"/>
        <v>5.289666667</v>
      </c>
      <c r="F63" s="168">
        <f t="shared" si="28"/>
        <v>5.289666667</v>
      </c>
      <c r="G63" s="169">
        <f t="shared" si="29"/>
        <v>7.677007667</v>
      </c>
      <c r="H63" s="169">
        <f t="shared" si="30"/>
        <v>2.902325667</v>
      </c>
      <c r="I63" s="168"/>
      <c r="J63" s="170">
        <f t="shared" si="31"/>
        <v>2</v>
      </c>
      <c r="K63" s="169">
        <f t="shared" si="32"/>
        <v>2.333666667</v>
      </c>
      <c r="L63" s="169">
        <f t="shared" si="33"/>
        <v>8.340524667</v>
      </c>
      <c r="X63" s="157" t="s">
        <v>78</v>
      </c>
      <c r="Y63" s="140">
        <f>Y60+Y59</f>
        <v>6.719390855</v>
      </c>
      <c r="Z63" s="140">
        <f t="shared" si="23"/>
        <v>2.592178785</v>
      </c>
      <c r="AA63" s="158">
        <f t="shared" si="24"/>
        <v>0.7837432736</v>
      </c>
      <c r="AB63" s="158">
        <f t="shared" si="25"/>
        <v>266.9944149</v>
      </c>
      <c r="AC63" s="159"/>
      <c r="AD63" s="171"/>
      <c r="AE63" s="171"/>
      <c r="AF63" s="172"/>
      <c r="AG63" s="171"/>
      <c r="AH63" s="171"/>
      <c r="AI63" s="171"/>
    </row>
    <row r="64" customHeight="1">
      <c r="C64" s="173"/>
      <c r="D64" s="168">
        <f t="shared" si="26"/>
        <v>6</v>
      </c>
      <c r="E64" s="169">
        <f t="shared" si="27"/>
        <v>5.289666667</v>
      </c>
      <c r="F64" s="168">
        <f t="shared" si="28"/>
        <v>5.289666667</v>
      </c>
      <c r="G64" s="169">
        <f t="shared" si="29"/>
        <v>7.677007667</v>
      </c>
      <c r="H64" s="169">
        <f t="shared" si="30"/>
        <v>2.902325667</v>
      </c>
      <c r="I64" s="173"/>
      <c r="J64" s="170">
        <f t="shared" si="31"/>
        <v>2</v>
      </c>
      <c r="K64" s="169">
        <f t="shared" si="32"/>
        <v>2.333666667</v>
      </c>
      <c r="L64" s="169">
        <f t="shared" si="33"/>
        <v>8.340524667</v>
      </c>
      <c r="X64" s="157" t="s">
        <v>66</v>
      </c>
      <c r="Y64" s="140">
        <f>Y62+Y63</f>
        <v>8.573459041</v>
      </c>
      <c r="Z64" s="140">
        <f t="shared" si="23"/>
        <v>2.928046967</v>
      </c>
      <c r="AA64" s="158">
        <f t="shared" si="24"/>
        <v>1</v>
      </c>
      <c r="AB64" s="158">
        <f t="shared" si="25"/>
        <v>301.5888376</v>
      </c>
      <c r="AC64" s="159"/>
      <c r="AF64" s="174"/>
    </row>
    <row r="65" customHeight="1">
      <c r="C65" s="165"/>
      <c r="D65" s="168">
        <f t="shared" si="26"/>
        <v>8.666666667</v>
      </c>
      <c r="E65" s="169">
        <f t="shared" si="27"/>
        <v>5.289666667</v>
      </c>
      <c r="F65" s="168">
        <f t="shared" si="28"/>
        <v>5.289666667</v>
      </c>
      <c r="G65" s="169">
        <f t="shared" si="29"/>
        <v>7.677007667</v>
      </c>
      <c r="H65" s="169">
        <f t="shared" si="30"/>
        <v>2.902325667</v>
      </c>
      <c r="I65" s="165"/>
      <c r="J65" s="170">
        <f t="shared" si="31"/>
        <v>19</v>
      </c>
      <c r="K65" s="169">
        <f t="shared" si="32"/>
        <v>2.333666667</v>
      </c>
      <c r="L65" s="169">
        <f t="shared" si="33"/>
        <v>8.340524667</v>
      </c>
      <c r="X65" s="160" t="s">
        <v>95</v>
      </c>
      <c r="Y65" s="155">
        <f>ROUNDDOWN(SQRT((Y62/Y64)*2),0)</f>
        <v>0</v>
      </c>
      <c r="Z65" s="161"/>
      <c r="AA65" s="175"/>
      <c r="AB65" s="175"/>
      <c r="AC65" s="159"/>
      <c r="AF65" s="174"/>
    </row>
    <row r="66" customHeight="1">
      <c r="C66" s="165"/>
      <c r="D66" s="168">
        <f t="shared" si="26"/>
        <v>5.666666667</v>
      </c>
      <c r="E66" s="169">
        <f t="shared" si="27"/>
        <v>5.289666667</v>
      </c>
      <c r="F66" s="168">
        <f t="shared" si="28"/>
        <v>5.289666667</v>
      </c>
      <c r="G66" s="169">
        <f t="shared" si="29"/>
        <v>7.677007667</v>
      </c>
      <c r="H66" s="169">
        <f t="shared" si="30"/>
        <v>2.902325667</v>
      </c>
      <c r="I66" s="165"/>
      <c r="J66" s="170">
        <f t="shared" si="31"/>
        <v>1</v>
      </c>
      <c r="K66" s="169">
        <f t="shared" si="32"/>
        <v>2.333666667</v>
      </c>
      <c r="L66" s="169">
        <f t="shared" si="33"/>
        <v>8.340524667</v>
      </c>
      <c r="X66" s="160"/>
      <c r="Y66" s="155"/>
      <c r="Z66" s="161"/>
      <c r="AF66" s="174"/>
    </row>
    <row r="67" customHeight="1">
      <c r="C67" s="165"/>
      <c r="D67" s="168">
        <f t="shared" si="26"/>
        <v>4</v>
      </c>
      <c r="E67" s="169">
        <f t="shared" si="27"/>
        <v>5.289666667</v>
      </c>
      <c r="F67" s="168">
        <f t="shared" si="28"/>
        <v>5.289666667</v>
      </c>
      <c r="G67" s="169">
        <f t="shared" si="29"/>
        <v>7.677007667</v>
      </c>
      <c r="H67" s="169">
        <f t="shared" si="30"/>
        <v>2.902325667</v>
      </c>
      <c r="I67" s="165"/>
      <c r="J67" s="170">
        <f t="shared" si="31"/>
        <v>2</v>
      </c>
      <c r="K67" s="169">
        <f t="shared" si="32"/>
        <v>2.333666667</v>
      </c>
      <c r="L67" s="169">
        <f t="shared" si="33"/>
        <v>8.340524667</v>
      </c>
      <c r="X67" s="5"/>
      <c r="Z67" s="161"/>
      <c r="AF67" s="174"/>
    </row>
    <row r="68" customHeight="1">
      <c r="C68" s="165"/>
      <c r="D68" s="168">
        <f t="shared" si="26"/>
        <v>3</v>
      </c>
      <c r="E68" s="169">
        <f t="shared" si="27"/>
        <v>5.289666667</v>
      </c>
      <c r="F68" s="168">
        <f t="shared" si="28"/>
        <v>5.289666667</v>
      </c>
      <c r="G68" s="169">
        <f t="shared" si="29"/>
        <v>7.677007667</v>
      </c>
      <c r="H68" s="169">
        <f t="shared" si="30"/>
        <v>2.902325667</v>
      </c>
      <c r="I68" s="165"/>
      <c r="J68" s="170">
        <f t="shared" si="31"/>
        <v>0</v>
      </c>
      <c r="K68" s="169">
        <f t="shared" si="32"/>
        <v>2.333666667</v>
      </c>
      <c r="L68" s="169">
        <f t="shared" si="33"/>
        <v>8.340524667</v>
      </c>
      <c r="X68" s="5"/>
      <c r="Z68" s="161"/>
    </row>
    <row r="69" customHeight="1">
      <c r="C69" s="165"/>
      <c r="D69" s="168">
        <f t="shared" si="26"/>
        <v>5.333333333</v>
      </c>
      <c r="E69" s="169">
        <f t="shared" si="27"/>
        <v>5.289666667</v>
      </c>
      <c r="F69" s="168">
        <f t="shared" si="28"/>
        <v>5.289666667</v>
      </c>
      <c r="G69" s="169">
        <f t="shared" si="29"/>
        <v>7.677007667</v>
      </c>
      <c r="H69" s="169">
        <f t="shared" si="30"/>
        <v>2.902325667</v>
      </c>
      <c r="I69" s="165"/>
      <c r="J69" s="170">
        <f t="shared" si="31"/>
        <v>1</v>
      </c>
      <c r="K69" s="169">
        <f t="shared" si="32"/>
        <v>2.333666667</v>
      </c>
      <c r="L69" s="169">
        <f t="shared" si="33"/>
        <v>8.340524667</v>
      </c>
      <c r="X69" s="5"/>
      <c r="Z69" s="161"/>
    </row>
    <row r="70" customHeight="1">
      <c r="C70" s="165"/>
      <c r="D70" s="168">
        <f t="shared" si="26"/>
        <v>4</v>
      </c>
      <c r="E70" s="169">
        <f t="shared" si="27"/>
        <v>5.289666667</v>
      </c>
      <c r="F70" s="168">
        <f t="shared" si="28"/>
        <v>5.289666667</v>
      </c>
      <c r="G70" s="169">
        <f t="shared" si="29"/>
        <v>7.677007667</v>
      </c>
      <c r="H70" s="169">
        <f t="shared" si="30"/>
        <v>2.902325667</v>
      </c>
      <c r="I70" s="165"/>
      <c r="J70" s="170">
        <f t="shared" si="31"/>
        <v>2</v>
      </c>
      <c r="K70" s="169">
        <f t="shared" si="32"/>
        <v>2.333666667</v>
      </c>
      <c r="L70" s="169">
        <f t="shared" si="33"/>
        <v>8.340524667</v>
      </c>
      <c r="X70" s="5"/>
      <c r="Z70" s="161"/>
    </row>
    <row r="71" customHeight="1">
      <c r="C71" s="165"/>
      <c r="D71" s="168">
        <f t="shared" si="26"/>
        <v>4.333333333</v>
      </c>
      <c r="E71" s="169">
        <f t="shared" si="27"/>
        <v>5.289666667</v>
      </c>
      <c r="F71" s="168">
        <f t="shared" si="28"/>
        <v>5.289666667</v>
      </c>
      <c r="G71" s="169">
        <f t="shared" si="29"/>
        <v>7.677007667</v>
      </c>
      <c r="H71" s="169">
        <f t="shared" si="30"/>
        <v>2.902325667</v>
      </c>
      <c r="I71" s="165"/>
      <c r="J71" s="170">
        <f t="shared" si="31"/>
        <v>3</v>
      </c>
      <c r="K71" s="169">
        <f t="shared" si="32"/>
        <v>2.333666667</v>
      </c>
      <c r="L71" s="169">
        <f t="shared" si="33"/>
        <v>8.340524667</v>
      </c>
      <c r="X71" s="5"/>
      <c r="Z71" s="161"/>
    </row>
    <row r="72" customHeight="1">
      <c r="C72" s="165">
        <v>2.0</v>
      </c>
      <c r="D72" s="168">
        <f t="shared" ref="D72:D81" si="34">IFERROR(L15,0)</f>
        <v>5.333333333</v>
      </c>
      <c r="E72" s="169">
        <f t="shared" si="27"/>
        <v>5.289666667</v>
      </c>
      <c r="F72" s="168">
        <f t="shared" si="28"/>
        <v>5.289666667</v>
      </c>
      <c r="G72" s="169">
        <f t="shared" si="29"/>
        <v>7.677007667</v>
      </c>
      <c r="H72" s="169">
        <f t="shared" si="30"/>
        <v>2.902325667</v>
      </c>
      <c r="I72" s="165"/>
      <c r="J72" s="170">
        <f t="shared" ref="J72:J81" si="35">M15</f>
        <v>1</v>
      </c>
      <c r="K72" s="169">
        <f t="shared" si="32"/>
        <v>2.333666667</v>
      </c>
      <c r="L72" s="169">
        <f t="shared" si="33"/>
        <v>8.340524667</v>
      </c>
      <c r="X72" s="5"/>
      <c r="Z72" s="161"/>
    </row>
    <row r="73" customHeight="1">
      <c r="C73" s="165"/>
      <c r="D73" s="168">
        <f t="shared" si="34"/>
        <v>4</v>
      </c>
      <c r="E73" s="169">
        <f t="shared" si="27"/>
        <v>5.289666667</v>
      </c>
      <c r="F73" s="168">
        <f t="shared" si="28"/>
        <v>5.289666667</v>
      </c>
      <c r="G73" s="169">
        <f t="shared" si="29"/>
        <v>7.677007667</v>
      </c>
      <c r="H73" s="169">
        <f t="shared" si="30"/>
        <v>2.902325667</v>
      </c>
      <c r="I73" s="165"/>
      <c r="J73" s="170">
        <f t="shared" si="35"/>
        <v>2</v>
      </c>
      <c r="K73" s="169">
        <f t="shared" si="32"/>
        <v>2.333666667</v>
      </c>
      <c r="L73" s="169">
        <f t="shared" si="33"/>
        <v>8.340524667</v>
      </c>
      <c r="X73" s="5"/>
      <c r="Z73" s="161"/>
    </row>
    <row r="74" customHeight="1">
      <c r="C74" s="165"/>
      <c r="D74" s="168">
        <f t="shared" si="34"/>
        <v>6</v>
      </c>
      <c r="E74" s="169">
        <f t="shared" si="27"/>
        <v>5.289666667</v>
      </c>
      <c r="F74" s="168">
        <f t="shared" si="28"/>
        <v>5.289666667</v>
      </c>
      <c r="G74" s="169">
        <f t="shared" si="29"/>
        <v>7.677007667</v>
      </c>
      <c r="H74" s="169">
        <f t="shared" si="30"/>
        <v>2.902325667</v>
      </c>
      <c r="I74" s="165"/>
      <c r="J74" s="170">
        <f t="shared" si="35"/>
        <v>2</v>
      </c>
      <c r="K74" s="169">
        <f t="shared" si="32"/>
        <v>2.333666667</v>
      </c>
      <c r="L74" s="169">
        <f t="shared" si="33"/>
        <v>8.340524667</v>
      </c>
      <c r="X74" s="5"/>
      <c r="Z74" s="161"/>
    </row>
    <row r="75" customHeight="1">
      <c r="C75" s="165"/>
      <c r="D75" s="168">
        <f t="shared" si="34"/>
        <v>5.333333333</v>
      </c>
      <c r="E75" s="169">
        <f t="shared" si="27"/>
        <v>5.289666667</v>
      </c>
      <c r="F75" s="168">
        <f t="shared" si="28"/>
        <v>5.289666667</v>
      </c>
      <c r="G75" s="169">
        <f t="shared" si="29"/>
        <v>7.677007667</v>
      </c>
      <c r="H75" s="169">
        <f t="shared" si="30"/>
        <v>2.902325667</v>
      </c>
      <c r="I75" s="165"/>
      <c r="J75" s="170">
        <f t="shared" si="35"/>
        <v>1</v>
      </c>
      <c r="K75" s="169">
        <f t="shared" si="32"/>
        <v>2.333666667</v>
      </c>
      <c r="L75" s="169">
        <f t="shared" si="33"/>
        <v>8.340524667</v>
      </c>
      <c r="X75" s="5"/>
      <c r="Z75" s="161"/>
    </row>
    <row r="76" customHeight="1">
      <c r="C76" s="165"/>
      <c r="D76" s="168">
        <f t="shared" si="34"/>
        <v>5.666666667</v>
      </c>
      <c r="E76" s="169">
        <f t="shared" si="27"/>
        <v>5.289666667</v>
      </c>
      <c r="F76" s="168">
        <f t="shared" si="28"/>
        <v>5.289666667</v>
      </c>
      <c r="G76" s="169">
        <f t="shared" si="29"/>
        <v>7.677007667</v>
      </c>
      <c r="H76" s="169">
        <f t="shared" si="30"/>
        <v>2.902325667</v>
      </c>
      <c r="I76" s="165"/>
      <c r="J76" s="170">
        <f t="shared" si="35"/>
        <v>1</v>
      </c>
      <c r="K76" s="169">
        <f t="shared" si="32"/>
        <v>2.333666667</v>
      </c>
      <c r="L76" s="169">
        <f t="shared" si="33"/>
        <v>8.340524667</v>
      </c>
      <c r="X76" s="5"/>
      <c r="Z76" s="161"/>
    </row>
    <row r="77" customHeight="1">
      <c r="C77" s="165"/>
      <c r="D77" s="168">
        <f t="shared" si="34"/>
        <v>4</v>
      </c>
      <c r="E77" s="169">
        <f t="shared" si="27"/>
        <v>5.289666667</v>
      </c>
      <c r="F77" s="168">
        <f t="shared" si="28"/>
        <v>5.289666667</v>
      </c>
      <c r="G77" s="169">
        <f t="shared" si="29"/>
        <v>7.677007667</v>
      </c>
      <c r="H77" s="169">
        <f t="shared" si="30"/>
        <v>2.902325667</v>
      </c>
      <c r="I77" s="165"/>
      <c r="J77" s="170">
        <f t="shared" si="35"/>
        <v>2</v>
      </c>
      <c r="K77" s="169">
        <f t="shared" si="32"/>
        <v>2.333666667</v>
      </c>
      <c r="L77" s="169">
        <f t="shared" si="33"/>
        <v>8.340524667</v>
      </c>
      <c r="X77" s="5"/>
      <c r="Z77" s="161"/>
    </row>
    <row r="78" customHeight="1">
      <c r="C78" s="165"/>
      <c r="D78" s="168">
        <f t="shared" si="34"/>
        <v>4.333333333</v>
      </c>
      <c r="E78" s="169">
        <f t="shared" si="27"/>
        <v>5.289666667</v>
      </c>
      <c r="F78" s="168">
        <f t="shared" si="28"/>
        <v>5.289666667</v>
      </c>
      <c r="G78" s="169">
        <f t="shared" si="29"/>
        <v>7.677007667</v>
      </c>
      <c r="H78" s="169">
        <f t="shared" si="30"/>
        <v>2.902325667</v>
      </c>
      <c r="I78" s="165"/>
      <c r="J78" s="170">
        <f t="shared" si="35"/>
        <v>4</v>
      </c>
      <c r="K78" s="169">
        <f t="shared" si="32"/>
        <v>2.333666667</v>
      </c>
      <c r="L78" s="169">
        <f t="shared" si="33"/>
        <v>8.340524667</v>
      </c>
      <c r="Z78" s="161"/>
    </row>
    <row r="79" customHeight="1">
      <c r="C79" s="165"/>
      <c r="D79" s="168">
        <f t="shared" si="34"/>
        <v>5.333333333</v>
      </c>
      <c r="E79" s="169">
        <f t="shared" si="27"/>
        <v>5.289666667</v>
      </c>
      <c r="F79" s="168">
        <f t="shared" si="28"/>
        <v>5.289666667</v>
      </c>
      <c r="G79" s="169">
        <f t="shared" si="29"/>
        <v>7.677007667</v>
      </c>
      <c r="H79" s="169">
        <f t="shared" si="30"/>
        <v>2.902325667</v>
      </c>
      <c r="I79" s="165"/>
      <c r="J79" s="170">
        <f t="shared" si="35"/>
        <v>1</v>
      </c>
      <c r="K79" s="169">
        <f t="shared" si="32"/>
        <v>2.333666667</v>
      </c>
      <c r="L79" s="169">
        <f t="shared" si="33"/>
        <v>8.340524667</v>
      </c>
      <c r="Z79" s="161"/>
    </row>
    <row r="80" customHeight="1">
      <c r="C80" s="165"/>
      <c r="D80" s="168">
        <f t="shared" si="34"/>
        <v>4</v>
      </c>
      <c r="E80" s="169">
        <f t="shared" si="27"/>
        <v>5.289666667</v>
      </c>
      <c r="F80" s="168">
        <f t="shared" si="28"/>
        <v>5.289666667</v>
      </c>
      <c r="G80" s="169">
        <f t="shared" si="29"/>
        <v>7.677007667</v>
      </c>
      <c r="H80" s="169">
        <f t="shared" si="30"/>
        <v>2.902325667</v>
      </c>
      <c r="I80" s="165"/>
      <c r="J80" s="170">
        <f t="shared" si="35"/>
        <v>2</v>
      </c>
      <c r="K80" s="169">
        <f t="shared" si="32"/>
        <v>2.333666667</v>
      </c>
      <c r="L80" s="169">
        <f t="shared" si="33"/>
        <v>8.340524667</v>
      </c>
      <c r="Z80" s="161"/>
    </row>
    <row r="81" customHeight="1">
      <c r="C81" s="165"/>
      <c r="D81" s="168">
        <f t="shared" si="34"/>
        <v>4.333333333</v>
      </c>
      <c r="E81" s="169">
        <f t="shared" si="27"/>
        <v>5.289666667</v>
      </c>
      <c r="F81" s="168">
        <f t="shared" si="28"/>
        <v>5.289666667</v>
      </c>
      <c r="G81" s="169">
        <f t="shared" si="29"/>
        <v>7.677007667</v>
      </c>
      <c r="H81" s="169">
        <f t="shared" si="30"/>
        <v>2.902325667</v>
      </c>
      <c r="I81" s="165"/>
      <c r="J81" s="170">
        <f t="shared" si="35"/>
        <v>3</v>
      </c>
      <c r="K81" s="169">
        <f t="shared" si="32"/>
        <v>2.333666667</v>
      </c>
      <c r="L81" s="169">
        <f t="shared" si="33"/>
        <v>8.340524667</v>
      </c>
      <c r="Z81" s="161"/>
    </row>
    <row r="82" customHeight="1">
      <c r="C82" s="165">
        <v>3.0</v>
      </c>
      <c r="D82" s="168">
        <f t="shared" ref="D82:D91" si="36">IFERROR(Q15,0)</f>
        <v>5.333333333</v>
      </c>
      <c r="E82" s="169">
        <f t="shared" si="27"/>
        <v>5.289666667</v>
      </c>
      <c r="F82" s="168">
        <f t="shared" si="28"/>
        <v>5.289666667</v>
      </c>
      <c r="G82" s="169">
        <f t="shared" si="29"/>
        <v>7.677007667</v>
      </c>
      <c r="H82" s="169">
        <f t="shared" si="30"/>
        <v>2.902325667</v>
      </c>
      <c r="I82" s="165"/>
      <c r="J82" s="170">
        <f t="shared" ref="J82:J91" si="37">R15</f>
        <v>1</v>
      </c>
      <c r="K82" s="169">
        <f t="shared" si="32"/>
        <v>2.333666667</v>
      </c>
      <c r="L82" s="169">
        <f t="shared" si="33"/>
        <v>8.340524667</v>
      </c>
      <c r="Z82" s="161"/>
    </row>
    <row r="83" customHeight="1">
      <c r="C83" s="165"/>
      <c r="D83" s="168">
        <f t="shared" si="36"/>
        <v>6</v>
      </c>
      <c r="E83" s="169">
        <f t="shared" si="27"/>
        <v>5.289666667</v>
      </c>
      <c r="F83" s="168">
        <f t="shared" si="28"/>
        <v>5.289666667</v>
      </c>
      <c r="G83" s="169">
        <f t="shared" si="29"/>
        <v>7.677007667</v>
      </c>
      <c r="H83" s="169">
        <f t="shared" si="30"/>
        <v>2.902325667</v>
      </c>
      <c r="I83" s="165"/>
      <c r="J83" s="170">
        <f t="shared" si="37"/>
        <v>5</v>
      </c>
      <c r="K83" s="169">
        <f t="shared" si="32"/>
        <v>2.333666667</v>
      </c>
      <c r="L83" s="169">
        <f t="shared" si="33"/>
        <v>8.340524667</v>
      </c>
      <c r="Z83" s="161"/>
    </row>
    <row r="84" customHeight="1">
      <c r="C84" s="165"/>
      <c r="D84" s="168">
        <f t="shared" si="36"/>
        <v>6</v>
      </c>
      <c r="E84" s="169">
        <f t="shared" si="27"/>
        <v>5.289666667</v>
      </c>
      <c r="F84" s="168">
        <f t="shared" si="28"/>
        <v>5.289666667</v>
      </c>
      <c r="G84" s="169">
        <f t="shared" si="29"/>
        <v>7.677007667</v>
      </c>
      <c r="H84" s="169">
        <f t="shared" si="30"/>
        <v>2.902325667</v>
      </c>
      <c r="I84" s="165"/>
      <c r="J84" s="170">
        <f t="shared" si="37"/>
        <v>2</v>
      </c>
      <c r="K84" s="169">
        <f t="shared" si="32"/>
        <v>2.333666667</v>
      </c>
      <c r="L84" s="169">
        <f t="shared" si="33"/>
        <v>8.340524667</v>
      </c>
      <c r="Z84" s="161"/>
    </row>
    <row r="85" customHeight="1">
      <c r="C85" s="165"/>
      <c r="D85" s="168">
        <f t="shared" si="36"/>
        <v>5.333333333</v>
      </c>
      <c r="E85" s="169">
        <f t="shared" si="27"/>
        <v>5.289666667</v>
      </c>
      <c r="F85" s="168">
        <f t="shared" si="28"/>
        <v>5.289666667</v>
      </c>
      <c r="G85" s="169">
        <f t="shared" si="29"/>
        <v>7.677007667</v>
      </c>
      <c r="H85" s="169">
        <f t="shared" si="30"/>
        <v>2.902325667</v>
      </c>
      <c r="I85" s="165"/>
      <c r="J85" s="170">
        <f t="shared" si="37"/>
        <v>1</v>
      </c>
      <c r="K85" s="169">
        <f t="shared" si="32"/>
        <v>2.333666667</v>
      </c>
      <c r="L85" s="169">
        <f t="shared" si="33"/>
        <v>8.340524667</v>
      </c>
      <c r="Z85" s="161"/>
    </row>
    <row r="86" customHeight="1">
      <c r="C86" s="165"/>
      <c r="D86" s="168">
        <f t="shared" si="36"/>
        <v>6</v>
      </c>
      <c r="E86" s="169">
        <f t="shared" si="27"/>
        <v>5.289666667</v>
      </c>
      <c r="F86" s="168">
        <f t="shared" si="28"/>
        <v>5.289666667</v>
      </c>
      <c r="G86" s="169">
        <f t="shared" si="29"/>
        <v>7.677007667</v>
      </c>
      <c r="H86" s="169">
        <f t="shared" si="30"/>
        <v>2.902325667</v>
      </c>
      <c r="I86" s="165"/>
      <c r="J86" s="170">
        <f t="shared" si="37"/>
        <v>2</v>
      </c>
      <c r="K86" s="169">
        <f t="shared" si="32"/>
        <v>2.333666667</v>
      </c>
      <c r="L86" s="169">
        <f t="shared" si="33"/>
        <v>8.340524667</v>
      </c>
      <c r="Z86" s="161"/>
    </row>
    <row r="87" customHeight="1">
      <c r="C87" s="165"/>
      <c r="D87" s="168">
        <f t="shared" si="36"/>
        <v>4</v>
      </c>
      <c r="E87" s="169">
        <f t="shared" si="27"/>
        <v>5.289666667</v>
      </c>
      <c r="F87" s="168">
        <f t="shared" si="28"/>
        <v>5.289666667</v>
      </c>
      <c r="G87" s="169">
        <f t="shared" si="29"/>
        <v>7.677007667</v>
      </c>
      <c r="H87" s="169">
        <f t="shared" si="30"/>
        <v>2.902325667</v>
      </c>
      <c r="I87" s="165"/>
      <c r="J87" s="170">
        <f t="shared" si="37"/>
        <v>2</v>
      </c>
      <c r="K87" s="169">
        <f t="shared" si="32"/>
        <v>2.333666667</v>
      </c>
      <c r="L87" s="169">
        <f t="shared" si="33"/>
        <v>8.340524667</v>
      </c>
      <c r="Z87" s="161"/>
    </row>
    <row r="88" customHeight="1">
      <c r="C88" s="165"/>
      <c r="D88" s="168">
        <f t="shared" si="36"/>
        <v>3</v>
      </c>
      <c r="E88" s="169">
        <f t="shared" si="27"/>
        <v>5.289666667</v>
      </c>
      <c r="F88" s="168">
        <f t="shared" si="28"/>
        <v>5.289666667</v>
      </c>
      <c r="G88" s="169">
        <f t="shared" si="29"/>
        <v>7.677007667</v>
      </c>
      <c r="H88" s="169">
        <f t="shared" si="30"/>
        <v>2.902325667</v>
      </c>
      <c r="I88" s="165"/>
      <c r="J88" s="170">
        <f t="shared" si="37"/>
        <v>0</v>
      </c>
      <c r="K88" s="169">
        <f t="shared" si="32"/>
        <v>2.333666667</v>
      </c>
      <c r="L88" s="169">
        <f t="shared" si="33"/>
        <v>8.340524667</v>
      </c>
      <c r="Z88" s="161"/>
    </row>
    <row r="89" customHeight="1">
      <c r="C89" s="165"/>
      <c r="D89" s="168">
        <f t="shared" si="36"/>
        <v>5.333333333</v>
      </c>
      <c r="E89" s="169">
        <f t="shared" si="27"/>
        <v>5.289666667</v>
      </c>
      <c r="F89" s="168">
        <f t="shared" si="28"/>
        <v>5.289666667</v>
      </c>
      <c r="G89" s="169">
        <f t="shared" si="29"/>
        <v>7.677007667</v>
      </c>
      <c r="H89" s="169">
        <f t="shared" si="30"/>
        <v>2.902325667</v>
      </c>
      <c r="I89" s="165"/>
      <c r="J89" s="170">
        <f t="shared" si="37"/>
        <v>1</v>
      </c>
      <c r="K89" s="169">
        <f t="shared" si="32"/>
        <v>2.333666667</v>
      </c>
      <c r="L89" s="169">
        <f t="shared" si="33"/>
        <v>8.340524667</v>
      </c>
      <c r="Z89" s="161"/>
    </row>
    <row r="90" customHeight="1">
      <c r="C90" s="165"/>
      <c r="D90" s="168">
        <f t="shared" si="36"/>
        <v>4</v>
      </c>
      <c r="E90" s="169">
        <f t="shared" si="27"/>
        <v>5.289666667</v>
      </c>
      <c r="F90" s="168">
        <f t="shared" si="28"/>
        <v>5.289666667</v>
      </c>
      <c r="G90" s="169">
        <f t="shared" si="29"/>
        <v>7.677007667</v>
      </c>
      <c r="H90" s="169">
        <f t="shared" si="30"/>
        <v>2.902325667</v>
      </c>
      <c r="I90" s="165"/>
      <c r="J90" s="170">
        <f t="shared" si="37"/>
        <v>2</v>
      </c>
      <c r="K90" s="169">
        <f t="shared" si="32"/>
        <v>2.333666667</v>
      </c>
      <c r="L90" s="169">
        <f t="shared" si="33"/>
        <v>8.340524667</v>
      </c>
      <c r="Z90" s="161"/>
    </row>
    <row r="91" customHeight="1">
      <c r="C91" s="165"/>
      <c r="D91" s="168">
        <f t="shared" si="36"/>
        <v>4.333333333</v>
      </c>
      <c r="E91" s="169">
        <f t="shared" si="27"/>
        <v>5.289666667</v>
      </c>
      <c r="F91" s="168">
        <f t="shared" si="28"/>
        <v>5.289666667</v>
      </c>
      <c r="G91" s="169">
        <f t="shared" si="29"/>
        <v>7.677007667</v>
      </c>
      <c r="H91" s="169">
        <f t="shared" si="30"/>
        <v>2.902325667</v>
      </c>
      <c r="I91" s="165"/>
      <c r="J91" s="170">
        <f t="shared" si="37"/>
        <v>3</v>
      </c>
      <c r="K91" s="169">
        <f t="shared" si="32"/>
        <v>2.333666667</v>
      </c>
      <c r="L91" s="169">
        <f t="shared" si="33"/>
        <v>8.340524667</v>
      </c>
      <c r="Z91" s="161"/>
    </row>
    <row r="92" customHeight="1">
      <c r="Z92" s="161"/>
    </row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>
      <c r="X101" s="159"/>
      <c r="Y101" s="176"/>
      <c r="Z101" s="176"/>
      <c r="AA101" s="175"/>
      <c r="AB101" s="175"/>
    </row>
    <row r="102" customHeight="1">
      <c r="X102" s="159"/>
      <c r="Y102" s="176"/>
      <c r="Z102" s="176"/>
      <c r="AA102" s="175"/>
      <c r="AB102" s="175"/>
    </row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O9:P9"/>
    <mergeCell ref="O10:P10"/>
    <mergeCell ref="O11:P11"/>
    <mergeCell ref="N13:R13"/>
    <mergeCell ref="S13:T14"/>
    <mergeCell ref="V13:W13"/>
    <mergeCell ref="S15:T15"/>
    <mergeCell ref="B10:G10"/>
    <mergeCell ref="B11:G11"/>
    <mergeCell ref="B12:G12"/>
    <mergeCell ref="B13:C13"/>
    <mergeCell ref="D13:H13"/>
    <mergeCell ref="I13:M13"/>
    <mergeCell ref="B14:C14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I25:K25"/>
    <mergeCell ref="N25:P25"/>
    <mergeCell ref="AD25:AE25"/>
    <mergeCell ref="I26:K26"/>
    <mergeCell ref="N26:P26"/>
    <mergeCell ref="V3:W3"/>
    <mergeCell ref="AB3:AC3"/>
    <mergeCell ref="AF3:AG3"/>
    <mergeCell ref="O4:P4"/>
    <mergeCell ref="Q4:R4"/>
    <mergeCell ref="Z4:AA4"/>
    <mergeCell ref="AD4:AE4"/>
    <mergeCell ref="AB7:AC7"/>
    <mergeCell ref="AF7:AG7"/>
    <mergeCell ref="AB8:AC8"/>
    <mergeCell ref="AF8:AG8"/>
    <mergeCell ref="O5:P5"/>
    <mergeCell ref="Q5:R5"/>
    <mergeCell ref="Z5:AA5"/>
    <mergeCell ref="AD5:AE5"/>
    <mergeCell ref="Q6:R6"/>
    <mergeCell ref="Z6:AA6"/>
    <mergeCell ref="AD6:AE6"/>
    <mergeCell ref="O6:P6"/>
    <mergeCell ref="O7:P7"/>
    <mergeCell ref="Q7:R7"/>
    <mergeCell ref="O8:P8"/>
    <mergeCell ref="Q8:R8"/>
    <mergeCell ref="Q9:R9"/>
    <mergeCell ref="Q10:R10"/>
    <mergeCell ref="B31:D31"/>
    <mergeCell ref="B32:D32"/>
    <mergeCell ref="B33:D33"/>
    <mergeCell ref="D60:H60"/>
    <mergeCell ref="J60:L60"/>
    <mergeCell ref="B15:B26"/>
    <mergeCell ref="D25:F25"/>
    <mergeCell ref="D26:F26"/>
    <mergeCell ref="B27:C27"/>
    <mergeCell ref="B28:D28"/>
    <mergeCell ref="B29:D29"/>
    <mergeCell ref="B30:D30"/>
    <mergeCell ref="X30:AC30"/>
    <mergeCell ref="X38:AC38"/>
    <mergeCell ref="X49:AC49"/>
    <mergeCell ref="X57:AC57"/>
  </mergeCells>
  <conditionalFormatting sqref="H29:H31">
    <cfRule type="containsText" dxfId="0" priority="1" operator="containsText" text="&quot;NG&quot;">
      <formula>NOT(ISERROR(SEARCH(("""NG"""),(H29))))</formula>
    </cfRule>
  </conditionalFormatting>
  <conditionalFormatting sqref="H29:H31">
    <cfRule type="containsText" dxfId="1" priority="2" operator="containsText" text="&quot;OK&quot;">
      <formula>NOT(ISERROR(SEARCH(("""OK"""),(H29))))</formula>
    </cfRule>
  </conditionalFormatting>
  <conditionalFormatting sqref="C9">
    <cfRule type="cellIs" dxfId="2" priority="3" operator="notBetween">
      <formula>5</formula>
      <formula>10</formula>
    </cfRule>
  </conditionalFormatting>
  <conditionalFormatting sqref="E9 G9">
    <cfRule type="cellIs" dxfId="2" priority="4" operator="notBetween">
      <formula>2</formula>
      <formula>3</formula>
    </cfRule>
  </conditionalFormatting>
  <conditionalFormatting sqref="N15:O24 N25:P26 Q15:R26">
    <cfRule type="expression" dxfId="3" priority="5">
      <formula>$E$9=2</formula>
    </cfRule>
  </conditionalFormatting>
  <conditionalFormatting sqref="C9 E9 G9 Q6:R7">
    <cfRule type="containsBlanks" dxfId="4" priority="6">
      <formula>LEN(TRIM(C9))=0</formula>
    </cfRule>
  </conditionalFormatting>
  <conditionalFormatting sqref="F15:F24 K15:K24 P15:P24">
    <cfRule type="expression" dxfId="3" priority="7">
      <formula>$G$9=2</formula>
    </cfRule>
  </conditionalFormatting>
  <conditionalFormatting sqref="P15:P24">
    <cfRule type="expression" dxfId="3" priority="8">
      <formula>$E$9=2</formula>
    </cfRule>
  </conditionalFormatting>
  <conditionalFormatting sqref="P15:P24">
    <cfRule type="expression" dxfId="3" priority="9">
      <formula>$G$9=2</formula>
    </cfRule>
  </conditionalFormatting>
  <conditionalFormatting sqref="D24:R24">
    <cfRule type="expression" dxfId="3" priority="10">
      <formula>$C$9&lt;10</formula>
    </cfRule>
  </conditionalFormatting>
  <conditionalFormatting sqref="D23:R23">
    <cfRule type="expression" dxfId="3" priority="11">
      <formula>$C$9&lt;9</formula>
    </cfRule>
  </conditionalFormatting>
  <conditionalFormatting sqref="D22:R22">
    <cfRule type="expression" dxfId="3" priority="12">
      <formula>$C$9&lt;8</formula>
    </cfRule>
  </conditionalFormatting>
  <conditionalFormatting sqref="D21:R21">
    <cfRule type="expression" dxfId="3" priority="13">
      <formula>$C$9&lt;7</formula>
    </cfRule>
  </conditionalFormatting>
  <conditionalFormatting sqref="D20:R20">
    <cfRule type="expression" dxfId="3" priority="14">
      <formula>$C$9&lt;6</formula>
    </cfRule>
  </conditionalFormatting>
  <conditionalFormatting sqref="D20:R24">
    <cfRule type="expression" dxfId="5" priority="15">
      <formula>$C$9=""</formula>
    </cfRule>
  </conditionalFormatting>
  <printOptions/>
  <pageMargins bottom="0.75" footer="0.0" header="0.0" left="0.7" right="0.7" top="0.75"/>
  <pageSetup orientation="landscape"/>
  <drawing r:id="rId2"/>
  <legacyDrawing r:id="rId3"/>
</worksheet>
</file>