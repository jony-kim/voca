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공정능력평가표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6">
      <text>
        <t xml:space="preserve">-공차유형
A:양측
B:하한
C:상한</t>
      </text>
    </comment>
  </commentList>
</comments>
</file>

<file path=xl/sharedStrings.xml><?xml version="1.0" encoding="utf-8"?>
<sst xmlns="http://schemas.openxmlformats.org/spreadsheetml/2006/main" count="120" uniqueCount="93">
  <si>
    <r>
      <rPr>
        <rFont val="Malgun Gothic"/>
        <b/>
        <color theme="1"/>
        <sz val="20.0"/>
      </rPr>
      <t>공 정 능 력 평 가 표 (Ppk)</t>
    </r>
    <r>
      <rPr>
        <rFont val="맑은 고딕"/>
        <b val="0"/>
        <color theme="1"/>
        <sz val="11.0"/>
      </rPr>
      <t xml:space="preserve">
Process  Capability Evaluation</t>
    </r>
  </si>
  <si>
    <r>
      <rPr>
        <rFont val="Malgun Gothic"/>
        <b/>
        <color theme="1"/>
        <sz val="10.0"/>
      </rPr>
      <t>평가자</t>
    </r>
    <r>
      <rPr>
        <rFont val="맑은 고딕"/>
        <b val="0"/>
        <color theme="1"/>
        <sz val="9.0"/>
      </rPr>
      <t xml:space="preserve">
Evaluator</t>
    </r>
  </si>
  <si>
    <r>
      <rPr>
        <rFont val="Malgun Gothic"/>
        <b/>
        <color theme="1"/>
        <sz val="10.0"/>
      </rPr>
      <t>평가일자</t>
    </r>
    <r>
      <rPr>
        <rFont val="맑은 고딕"/>
        <b val="0"/>
        <color theme="1"/>
        <sz val="9.0"/>
      </rPr>
      <t xml:space="preserve">
Date</t>
    </r>
  </si>
  <si>
    <t/>
  </si>
  <si>
    <r>
      <rPr>
        <rFont val="Malgun Gothic"/>
        <b/>
        <color theme="1"/>
        <sz val="10.0"/>
      </rPr>
      <t>Line명</t>
    </r>
    <r>
      <rPr>
        <rFont val="맑은 고딕"/>
        <b val="0"/>
        <color theme="1"/>
        <sz val="9.0"/>
      </rPr>
      <t xml:space="preserve">
Line Name</t>
    </r>
  </si>
  <si>
    <t/>
  </si>
  <si>
    <r>
      <rPr>
        <rFont val="Malgun Gothic"/>
        <b/>
        <color theme="1"/>
        <sz val="10.0"/>
      </rPr>
      <t xml:space="preserve">공  정  명
</t>
    </r>
    <r>
      <rPr>
        <rFont val="맑은 고딕"/>
        <b val="0"/>
        <color theme="1"/>
        <sz val="9.0"/>
      </rPr>
      <t>Process</t>
    </r>
  </si>
  <si>
    <t/>
  </si>
  <si>
    <r>
      <rPr>
        <rFont val="Malgun Gothic"/>
        <b/>
        <color theme="1"/>
        <sz val="10.0"/>
      </rPr>
      <t>품명 &amp; Part-No</t>
    </r>
    <r>
      <rPr>
        <rFont val="맑은 고딕"/>
        <b val="0"/>
        <color theme="1"/>
        <sz val="9.0"/>
      </rPr>
      <t xml:space="preserve">
PartName &amp; No</t>
    </r>
  </si>
  <si>
    <t/>
  </si>
  <si>
    <r>
      <rPr>
        <rFont val="Malgun Gothic"/>
        <b/>
        <color theme="1"/>
        <sz val="10.0"/>
      </rPr>
      <t>검사항목</t>
    </r>
    <r>
      <rPr>
        <rFont val="맑은 고딕"/>
        <b val="0"/>
        <color theme="1"/>
        <sz val="9.0"/>
      </rPr>
      <t xml:space="preserve">
Evaluation Item</t>
    </r>
  </si>
  <si>
    <t/>
  </si>
  <si>
    <r>
      <rPr>
        <rFont val="Malgun Gothic"/>
        <b/>
        <color theme="1"/>
        <sz val="10.0"/>
      </rPr>
      <t>계측기명</t>
    </r>
    <r>
      <rPr>
        <rFont val="맑은 고딕"/>
        <b val="0"/>
        <color theme="1"/>
        <sz val="9.0"/>
      </rPr>
      <t xml:space="preserve">
Measuring Inst.</t>
    </r>
  </si>
  <si>
    <t>Vernier Calipers</t>
  </si>
  <si>
    <r>
      <rPr>
        <rFont val="Malgun Gothic"/>
        <b/>
        <color theme="1"/>
        <sz val="10.0"/>
      </rPr>
      <t>측정단위</t>
    </r>
    <r>
      <rPr>
        <rFont val="맑은 고딕"/>
        <b val="0"/>
        <color theme="1"/>
        <sz val="9.0"/>
      </rPr>
      <t xml:space="preserve">
Unit</t>
    </r>
  </si>
  <si>
    <t>0.01mm</t>
  </si>
  <si>
    <r>
      <rPr>
        <rFont val="Malgun Gothic"/>
        <b/>
        <color theme="1"/>
        <sz val="10.0"/>
      </rPr>
      <t>규격</t>
    </r>
    <r>
      <rPr>
        <rFont val="맑은 고딕"/>
        <b val="0"/>
        <color theme="1"/>
        <sz val="9.0"/>
      </rPr>
      <t xml:space="preserve">
Specification</t>
    </r>
  </si>
  <si>
    <r>
      <rPr>
        <rFont val="Malgun Gothic"/>
        <b/>
        <color theme="1"/>
        <sz val="10.0"/>
      </rPr>
      <t>규격상한</t>
    </r>
    <r>
      <rPr>
        <rFont val="맑은 고딕"/>
        <b val="0"/>
        <color theme="1"/>
        <sz val="9.0"/>
      </rPr>
      <t xml:space="preserve">
Upp.Tol</t>
    </r>
  </si>
  <si>
    <r>
      <rPr>
        <rFont val="Malgun Gothic"/>
        <b/>
        <color theme="1"/>
        <sz val="10.0"/>
      </rPr>
      <t>규격하한</t>
    </r>
    <r>
      <rPr>
        <rFont val="맑은 고딕"/>
        <b val="0"/>
        <color theme="1"/>
        <sz val="9.0"/>
      </rPr>
      <t xml:space="preserve">
Low.Tol</t>
    </r>
  </si>
  <si>
    <r>
      <rPr>
        <rFont val="Malgun Gothic"/>
        <b/>
        <color theme="1"/>
        <sz val="10.0"/>
      </rPr>
      <t>공차유형</t>
    </r>
    <r>
      <rPr>
        <rFont val="맑은 고딕"/>
        <b val="0"/>
        <color theme="1"/>
        <sz val="9.0"/>
      </rPr>
      <t xml:space="preserve">
Tol.Type</t>
    </r>
  </si>
  <si>
    <t>측정값</t>
  </si>
  <si>
    <t>Ppk판정기준 ( Standard )</t>
  </si>
  <si>
    <t>0~</t>
  </si>
  <si>
    <t>2.0≤Ppk</t>
  </si>
  <si>
    <t>Best</t>
  </si>
  <si>
    <t>O.K</t>
  </si>
  <si>
    <t>10~</t>
  </si>
  <si>
    <t>20~</t>
  </si>
  <si>
    <t>2.0&gt;Ppk
≥1.67</t>
  </si>
  <si>
    <t>Acceptable</t>
  </si>
  <si>
    <t>30~</t>
  </si>
  <si>
    <t>40~</t>
  </si>
  <si>
    <t>1.67&gt;Ppk
≥1.33</t>
  </si>
  <si>
    <t>Not
Enough</t>
  </si>
  <si>
    <t>N.G</t>
  </si>
  <si>
    <t>50~</t>
  </si>
  <si>
    <t>60~</t>
  </si>
  <si>
    <t>1.33&gt;Ppk
≥1.0</t>
  </si>
  <si>
    <t>Poor</t>
  </si>
  <si>
    <t>70~</t>
  </si>
  <si>
    <t>80~</t>
  </si>
  <si>
    <t>Ppk&lt;1.0</t>
  </si>
  <si>
    <t>Bad</t>
  </si>
  <si>
    <t>90~</t>
  </si>
  <si>
    <t>Min</t>
  </si>
  <si>
    <t>Max</t>
  </si>
  <si>
    <t>Aver.</t>
  </si>
  <si>
    <t>Dev.</t>
  </si>
  <si>
    <t>추정
불량률</t>
  </si>
  <si>
    <t>Pp</t>
  </si>
  <si>
    <t>Ppu</t>
  </si>
  <si>
    <t>Ppl</t>
  </si>
  <si>
    <t>Ppk</t>
  </si>
  <si>
    <t>σ 수준</t>
  </si>
  <si>
    <t>판정결과 및 비고</t>
  </si>
  <si>
    <t>개별치 연속그래프 ( Run Chart )</t>
  </si>
  <si>
    <t>히스토 그램 ( Histogram )</t>
  </si>
  <si>
    <t>Evaluation Data</t>
  </si>
  <si>
    <t>Minimum</t>
  </si>
  <si>
    <t>:</t>
  </si>
  <si>
    <t>Maximum</t>
  </si>
  <si>
    <t>Average</t>
  </si>
  <si>
    <t>Stnd.Dev</t>
  </si>
  <si>
    <t>Up ppm</t>
  </si>
  <si>
    <t>low ppm</t>
  </si>
  <si>
    <t>Total ppm</t>
  </si>
  <si>
    <t>AverageA</t>
  </si>
  <si>
    <t>HistoRange</t>
  </si>
  <si>
    <t>HistoIntSu</t>
  </si>
  <si>
    <t>Title</t>
  </si>
  <si>
    <t xml:space="preserve">Process Name </t>
  </si>
  <si>
    <t>Process Number</t>
  </si>
  <si>
    <t>Part Name</t>
  </si>
  <si>
    <t>Eval.Item</t>
  </si>
  <si>
    <t>Spec</t>
  </si>
  <si>
    <t>Meas Inst</t>
  </si>
  <si>
    <t>Upp.Tol</t>
  </si>
  <si>
    <t>Low.Tol</t>
  </si>
  <si>
    <t>Tol.Type</t>
  </si>
  <si>
    <t>Unit</t>
  </si>
  <si>
    <t>Evaluator</t>
  </si>
  <si>
    <t>Date</t>
  </si>
  <si>
    <t>조건1</t>
  </si>
  <si>
    <t>문자열확인</t>
  </si>
  <si>
    <t>오류탐색1</t>
  </si>
  <si>
    <t>오류탐색2</t>
  </si>
  <si>
    <t>오류탐색3</t>
  </si>
  <si>
    <t>오류탐색4</t>
  </si>
  <si>
    <t>-----------</t>
  </si>
  <si>
    <t>오류합계</t>
  </si>
  <si>
    <t>오류합계2</t>
  </si>
  <si>
    <t>양식오류1</t>
  </si>
  <si>
    <t>양식오류2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</si>
</sst>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0.000"/>
    <numFmt numFmtId="166" formatCode="0.0000_ "/>
    <numFmt numFmtId="167" formatCode="#,##0&quot;ppm&quot;"/>
    <numFmt numFmtId="168" formatCode="_-* #,##0.00000000_-;\-* #,##0.00000000_-;_-* &quot;-&quot;_-;_-@"/>
    <numFmt numFmtId="169" formatCode="0.00_ "/>
    <numFmt numFmtId="170" formatCode="0.00&quot;σ&quot;"/>
    <numFmt numFmtId="171" formatCode="0.000000000000_ "/>
    <numFmt numFmtId="172" formatCode="0_ "/>
  </numFmts>
  <fonts count="13">
    <font>
      <sz val="11.0"/>
      <color rgb="FF000000"/>
      <name val="Dotum"/>
      <scheme val="minor"/>
    </font>
    <font>
      <sz val="11.0"/>
      <color theme="1"/>
      <name val="Malgun Gothic"/>
    </font>
    <font>
      <b/>
      <sz val="20.0"/>
      <color theme="1"/>
      <name val="Malgun Gothic"/>
    </font>
    <font/>
    <font>
      <b/>
      <sz val="10.0"/>
      <color theme="1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b/>
      <sz val="9.0"/>
      <color theme="1"/>
      <name val="Malgun Gothic"/>
    </font>
    <font>
      <sz val="9.0"/>
      <color theme="1"/>
      <name val="Malgun Gothic"/>
    </font>
    <font>
      <b/>
      <sz val="8.0"/>
      <color theme="1"/>
      <name val="Malgun Gothic"/>
    </font>
    <font>
      <sz val="8.0"/>
      <color theme="1"/>
      <name val="Malgun Gothic"/>
    </font>
    <font>
      <b/>
      <sz val="12.0"/>
      <color theme="1"/>
      <name val="Malgun Gothic"/>
    </font>
    <font>
      <b/>
      <sz val="12.0"/>
      <color rgb="FFFFFFFF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FF0000"/>
        <bgColor rgb="FFFF0000"/>
      </patternFill>
    </fill>
  </fills>
  <borders count="4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4" fillId="3" fontId="1" numFmtId="0" xfId="0" applyAlignment="1" applyBorder="1" applyFill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2" fontId="4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1" fillId="3" fontId="1" numFmtId="164" xfId="0" applyAlignment="1" applyBorder="1" applyFill="1" applyFont="1" applyNumberFormat="1">
      <alignment horizontal="center" shrinkToFit="0" vertical="center" wrapText="0"/>
    </xf>
    <xf borderId="13" fillId="0" fontId="3" numFmtId="0" xfId="0" applyBorder="1" applyFont="1"/>
    <xf borderId="14" fillId="0" fontId="3" numFmtId="0" xfId="0" applyBorder="1" applyFont="1"/>
    <xf borderId="15" fillId="2" fontId="4" numFmtId="0" xfId="0" applyAlignment="1" applyBorder="1" applyFill="1" applyFont="1">
      <alignment horizontal="center" shrinkToFit="0" vertical="center" wrapText="1"/>
    </xf>
    <xf borderId="11" fillId="3" fontId="1" numFmtId="0" xfId="0" applyAlignment="1" applyBorder="1" applyFill="1" applyFont="1">
      <alignment horizontal="center" shrinkToFit="0" vertical="center" wrapText="0"/>
    </xf>
    <xf borderId="11" fillId="3" fontId="5" numFmtId="0" xfId="0" applyAlignment="1" applyBorder="1" applyFill="1" applyFont="1">
      <alignment horizontal="center" shrinkToFit="0" vertical="center" wrapText="0"/>
    </xf>
    <xf borderId="16" fillId="3" fontId="6" numFmtId="0" xfId="0" applyAlignment="1" applyBorder="1" applyFill="1" applyFont="1">
      <alignment horizontal="center" shrinkToFit="0" vertical="center" wrapText="0"/>
    </xf>
    <xf borderId="13" fillId="0" fontId="6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20" fillId="0" fontId="8" numFmtId="0" xfId="0" applyAlignment="1" applyBorder="1" applyFont="1">
      <alignment horizontal="center" shrinkToFit="0" vertical="center" wrapText="0"/>
    </xf>
    <xf borderId="11" fillId="0" fontId="8" numFmtId="0" xfId="0" applyAlignment="1" applyBorder="1" applyFont="1">
      <alignment horizontal="center" shrinkToFit="0" vertical="center" wrapText="0"/>
    </xf>
    <xf borderId="21" fillId="4" fontId="6" numFmtId="0" xfId="0" applyAlignment="1" applyBorder="1" applyFill="1" applyFont="1">
      <alignment horizontal="center" shrinkToFit="0" vertical="center" wrapText="0"/>
    </xf>
    <xf borderId="22" fillId="0" fontId="3" numFmtId="0" xfId="0" applyBorder="1" applyFont="1"/>
    <xf borderId="23" fillId="0" fontId="3" numFmtId="0" xfId="0" applyBorder="1" applyFont="1"/>
    <xf borderId="11" fillId="0" fontId="9" numFmtId="0" xfId="0" applyAlignment="1" applyBorder="1" applyFont="1">
      <alignment horizontal="center" shrinkToFit="0" vertical="center" wrapText="0"/>
    </xf>
    <xf borderId="20" fillId="3" fontId="10" numFmtId="165" xfId="0" applyAlignment="1" applyBorder="1" applyFill="1" applyFont="1" applyNumberFormat="1">
      <alignment horizontal="center" shrinkToFit="0" vertical="center" wrapText="0"/>
    </xf>
    <xf borderId="16" fillId="3" fontId="10" numFmtId="165" xfId="0" applyAlignment="1" applyBorder="1" applyFill="1" applyFont="1" applyNumberFormat="1">
      <alignment horizontal="center" shrinkToFit="0" vertical="center" wrapText="0"/>
    </xf>
    <xf borderId="24" fillId="4" fontId="6" numFmtId="0" xfId="0" applyAlignment="1" applyBorder="1" applyFill="1" applyFont="1">
      <alignment horizontal="center" shrinkToFit="0" vertical="center" wrapText="0"/>
    </xf>
    <xf borderId="25" fillId="0" fontId="3" numFmtId="0" xfId="0" applyBorder="1" applyFont="1"/>
    <xf borderId="26" fillId="4" fontId="6" numFmtId="0" xfId="0" applyAlignment="1" applyBorder="1" applyFill="1" applyFont="1">
      <alignment horizontal="center" shrinkToFit="0" vertical="center" wrapText="0"/>
    </xf>
    <xf borderId="27" fillId="4" fontId="6" numFmtId="0" xfId="0" applyAlignment="1" applyBorder="1" applyFill="1" applyFont="1">
      <alignment horizontal="center" shrinkToFit="0" vertical="center" wrapText="0"/>
    </xf>
    <xf borderId="28" fillId="0" fontId="3" numFmtId="0" xfId="0" applyBorder="1" applyFont="1"/>
    <xf borderId="29" fillId="0" fontId="3" numFmtId="0" xfId="0" applyBorder="1" applyFont="1"/>
    <xf borderId="30" fillId="4" fontId="6" numFmtId="0" xfId="0" applyAlignment="1" applyBorder="1" applyFill="1" applyFont="1">
      <alignment horizontal="center" shrinkToFit="0" vertical="center" wrapText="1"/>
    </xf>
    <xf borderId="31" fillId="0" fontId="3" numFmtId="0" xfId="0" applyBorder="1" applyFont="1"/>
    <xf borderId="32" fillId="4" fontId="6" numFmtId="0" xfId="0" applyAlignment="1" applyBorder="1" applyFill="1" applyFont="1">
      <alignment horizontal="center" shrinkToFit="0" vertical="center" wrapText="0"/>
    </xf>
    <xf borderId="33" fillId="0" fontId="3" numFmtId="0" xfId="0" applyBorder="1" applyFont="1"/>
    <xf borderId="30" fillId="5" fontId="6" numFmtId="0" xfId="0" applyAlignment="1" applyBorder="1" applyFill="1" applyFont="1">
      <alignment horizontal="center" shrinkToFit="0" vertical="center" wrapText="1"/>
    </xf>
    <xf borderId="32" fillId="5" fontId="6" numFmtId="0" xfId="0" applyAlignment="1" applyBorder="1" applyFill="1" applyFont="1">
      <alignment horizontal="center" shrinkToFit="0" vertical="center" wrapText="1"/>
    </xf>
    <xf borderId="34" fillId="5" fontId="6" numFmtId="0" xfId="0" applyAlignment="1" applyBorder="1" applyFill="1" applyFont="1">
      <alignment horizontal="center" shrinkToFit="0" vertical="center" wrapText="0"/>
    </xf>
    <xf borderId="32" fillId="5" fontId="6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0" fillId="0" fontId="9" numFmtId="0" xfId="0" applyAlignment="1" applyFont="1">
      <alignment horizontal="center" shrinkToFit="0" vertical="center" wrapText="0"/>
    </xf>
    <xf borderId="0" fillId="0" fontId="10" numFmtId="165" xfId="0" applyAlignment="1" applyFont="1" applyNumberFormat="1">
      <alignment horizontal="center" shrinkToFit="0" vertical="center" wrapText="0"/>
    </xf>
    <xf borderId="11" fillId="0" fontId="1" numFmtId="166" xfId="0" applyAlignment="1" applyBorder="1" applyFont="1" applyNumberFormat="1">
      <alignment horizontal="center" shrinkToFit="0" vertical="center" wrapText="0"/>
    </xf>
    <xf borderId="20" fillId="2" fontId="4" numFmtId="0" xfId="0" applyAlignment="1" applyBorder="1" applyFill="1" applyFont="1">
      <alignment horizontal="center" shrinkToFit="0" vertical="center" wrapText="1"/>
    </xf>
    <xf borderId="11" fillId="2" fontId="1" numFmtId="166" xfId="0" applyAlignment="1" applyBorder="1" applyFill="1" applyFont="1" applyNumberFormat="1">
      <alignment horizontal="center" shrinkToFit="0" vertical="center" wrapText="1"/>
    </xf>
    <xf borderId="11" fillId="0" fontId="4" numFmtId="167" xfId="0" applyAlignment="1" applyBorder="1" applyFont="1" applyNumberFormat="1">
      <alignment horizontal="center" shrinkToFit="0" vertical="center" wrapText="0"/>
    </xf>
    <xf borderId="0" fillId="0" fontId="8" numFmtId="168" xfId="0" applyAlignment="1" applyFont="1" applyNumberFormat="1">
      <alignment shrinkToFit="0" vertical="center" wrapText="0"/>
    </xf>
    <xf borderId="15" fillId="6" fontId="11" numFmtId="0" xfId="0" applyAlignment="1" applyBorder="1" applyFill="1" applyFont="1">
      <alignment horizontal="center" shrinkToFit="0" vertical="center" wrapText="0"/>
    </xf>
    <xf borderId="11" fillId="6" fontId="11" numFmtId="169" xfId="0" applyAlignment="1" applyBorder="1" applyFill="1" applyFont="1" applyNumberFormat="1">
      <alignment horizontal="center" shrinkToFit="0" vertical="center" wrapText="0"/>
    </xf>
    <xf borderId="20" fillId="2" fontId="11" numFmtId="0" xfId="0" applyAlignment="1" applyBorder="1" applyFill="1" applyFont="1">
      <alignment horizontal="center" shrinkToFit="0" vertical="center" wrapText="0"/>
    </xf>
    <xf borderId="11" fillId="0" fontId="1" numFmtId="169" xfId="0" applyAlignment="1" applyBorder="1" applyFont="1" applyNumberFormat="1">
      <alignment horizontal="center" shrinkToFit="0" vertical="center" wrapText="0"/>
    </xf>
    <xf borderId="20" fillId="6" fontId="11" numFmtId="0" xfId="0" applyAlignment="1" applyBorder="1" applyFill="1" applyFont="1">
      <alignment horizontal="center" shrinkToFit="0" vertical="center" wrapText="0"/>
    </xf>
    <xf borderId="11" fillId="7" fontId="12" numFmtId="166" xfId="0" applyAlignment="1" applyBorder="1" applyFill="1" applyFont="1" applyNumberFormat="1">
      <alignment horizontal="center" shrinkToFit="0" vertical="center" wrapText="0"/>
    </xf>
    <xf borderId="11" fillId="0" fontId="4" numFmtId="170" xfId="0" applyAlignment="1" applyBorder="1" applyFont="1" applyNumberFormat="1">
      <alignment horizontal="center" shrinkToFit="0" vertical="center" wrapText="0"/>
    </xf>
    <xf borderId="15" fillId="2" fontId="11" numFmtId="0" xfId="0" applyAlignment="1" applyBorder="1" applyFill="1" applyFont="1">
      <alignment horizontal="center" shrinkToFit="0" vertical="center" wrapText="0"/>
    </xf>
    <xf borderId="13" fillId="0" fontId="4" numFmtId="169" xfId="0" applyAlignment="1" applyBorder="1" applyFont="1" applyNumberFormat="1">
      <alignment horizontal="left" shrinkToFit="0" vertical="center" wrapText="0"/>
    </xf>
    <xf borderId="0" fillId="0" fontId="1" numFmtId="171" xfId="0" applyAlignment="1" applyFont="1" applyNumberFormat="1">
      <alignment shrinkToFit="0" vertical="center" wrapText="0"/>
    </xf>
    <xf borderId="0" fillId="0" fontId="8" numFmtId="166" xfId="0" applyAlignment="1" applyFont="1" applyNumberFormat="1">
      <alignment horizontal="center" shrinkToFit="0" vertical="center" wrapText="0"/>
    </xf>
    <xf borderId="35" fillId="0" fontId="1" numFmtId="0" xfId="0" applyAlignment="1" applyBorder="1" applyFont="1">
      <alignment shrinkToFit="0" vertical="center" wrapText="0"/>
    </xf>
    <xf borderId="39" fillId="0" fontId="1" numFmtId="0" xfId="0" applyAlignment="1" applyBorder="1" applyFont="1">
      <alignment shrinkToFit="0" vertical="center" wrapText="0"/>
    </xf>
    <xf borderId="40" fillId="0" fontId="1" numFmtId="0" xfId="0" applyAlignment="1" applyBorder="1" applyFont="1">
      <alignment shrinkToFit="0" vertical="center" wrapText="0"/>
    </xf>
    <xf borderId="0" fillId="0" fontId="8" numFmtId="0" xfId="0" applyAlignment="1" applyFont="1">
      <alignment horizontal="right" shrinkToFit="0" vertical="center" wrapText="0"/>
    </xf>
    <xf borderId="0" fillId="0" fontId="8" numFmtId="166" xfId="0" applyAlignment="1" applyFont="1" applyNumberFormat="1">
      <alignment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8" numFmtId="172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9525">
              <a:solidFill>
                <a:srgbClr val="00008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공정능력평가표!$B$52:$B$151</c:f>
              <c:numCache/>
            </c:numRef>
          </c:val>
          <c:smooth val="0"/>
        </c:ser>
        <c:ser>
          <c:idx val="1"/>
          <c:order val="1"/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공정능력평가표!$C$52:$C$151</c:f>
              <c:numCache/>
            </c:numRef>
          </c:val>
          <c:smooth val="0"/>
        </c:ser>
        <c:ser>
          <c:idx val="2"/>
          <c:order val="2"/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공정능력평가표!$D$52:$D$151</c:f>
              <c:numCache/>
            </c:numRef>
          </c:val>
          <c:smooth val="0"/>
        </c:ser>
        <c:ser>
          <c:idx val="3"/>
          <c:order val="3"/>
          <c:spPr>
            <a:ln cmpd="sng" w="952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공정능력평가표!$E$52:$E$151</c:f>
              <c:numCache/>
            </c:numRef>
          </c:val>
          <c:smooth val="0"/>
        </c:ser>
        <c:axId val="911992343"/>
        <c:axId val="1741669312"/>
      </c:lineChart>
      <c:catAx>
        <c:axId val="911992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669312"/>
      </c:catAx>
      <c:valAx>
        <c:axId val="1741669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992343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3"/>
          <c:order val="3"/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공정능력평가표!$F$52:$F$292</c:f>
            </c:strRef>
          </c:cat>
          <c:val>
            <c:numRef>
              <c:f>공정능력평가표!$G$52:$G$292</c:f>
              <c:numCache/>
            </c:numRef>
          </c:val>
        </c:ser>
        <c:ser>
          <c:idx val="4"/>
          <c:order val="4"/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공정능력평가표!$F$52:$F$292</c:f>
            </c:strRef>
          </c:cat>
          <c:val>
            <c:numRef>
              <c:f>공정능력평가표!$H$52:$H$292</c:f>
              <c:numCache/>
            </c:numRef>
          </c:val>
        </c:ser>
        <c:axId val="1750218740"/>
        <c:axId val="1649837892"/>
      </c:barChart>
      <c:lineChart>
        <c:varyColors val="0"/>
        <c:ser>
          <c:idx val="0"/>
          <c:order val="0"/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공정능력평가표!$F$52:$F$292</c:f>
            </c:strRef>
          </c:cat>
          <c:val>
            <c:numRef>
              <c:f>공정능력평가표!$I$52:$I$292</c:f>
              <c:numCache/>
            </c:numRef>
          </c:val>
          <c:smooth val="0"/>
        </c:ser>
        <c:axId val="1750218740"/>
        <c:axId val="1649837892"/>
      </c:lineChart>
      <c:catAx>
        <c:axId val="1750218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837892"/>
      </c:catAx>
      <c:valAx>
        <c:axId val="1649837892"/>
        <c:scaling>
          <c:orientation val="minMax"/>
          <c:min val="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218740"/>
      </c:valAx>
      <c:lineChart>
        <c:ser>
          <c:idx val="1"/>
          <c:order val="1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공정능력평가표!$F$52:$F$292</c:f>
            </c:strRef>
          </c:cat>
          <c:val>
            <c:numRef>
              <c:f>공정능력평가표!$J$52:$J$292</c:f>
              <c:numCache/>
            </c:numRef>
          </c:val>
          <c:smooth val="0"/>
        </c:ser>
        <c:ser>
          <c:idx val="2"/>
          <c:order val="2"/>
          <c:spPr>
            <a:ln cmpd="sng" w="9525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공정능력평가표!$F$52:$F$292</c:f>
            </c:strRef>
          </c:cat>
          <c:val>
            <c:numRef>
              <c:f>공정능력평가표!$K$52:$K$292</c:f>
              <c:numCache/>
            </c:numRef>
          </c:val>
          <c:smooth val="0"/>
        </c:ser>
        <c:axId val="799986223"/>
        <c:axId val="729699393"/>
      </c:lineChart>
      <c:catAx>
        <c:axId val="7999862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699393"/>
      </c:catAx>
      <c:valAx>
        <c:axId val="729699393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986223"/>
        <c:crosses val="max"/>
      </c:valAx>
    </c:plotArea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23</xdr:row>
      <xdr:rowOff>0</xdr:rowOff>
    </xdr:from>
    <xdr:ext cx="6334125" cy="220027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35</xdr:row>
      <xdr:rowOff>0</xdr:rowOff>
    </xdr:from>
    <xdr:ext cx="6334125" cy="2095500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0.88"/>
    <col customWidth="1" min="2" max="13" width="5.0"/>
    <col customWidth="1" min="14" max="15" width="4.75"/>
    <col customWidth="1" min="16" max="16" width="8.63"/>
    <col customWidth="1" min="17" max="17" width="5.0"/>
    <col customWidth="1" min="18" max="18" width="0.88"/>
    <col customWidth="1" min="19" max="19" width="5.75"/>
    <col customWidth="1" min="20" max="20" width="16.25"/>
    <col customWidth="1" min="21" max="21" width="10.75"/>
    <col customWidth="1" min="22" max="22" width="12.75"/>
    <col customWidth="1" min="23" max="26" width="8.0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</v>
      </c>
      <c r="O2" s="6"/>
      <c r="P2" s="7"/>
      <c r="Q2" s="8"/>
      <c r="R2" s="9"/>
      <c r="S2" s="1"/>
      <c r="T2" s="1"/>
      <c r="U2" s="1"/>
      <c r="V2" s="1"/>
      <c r="W2" s="1"/>
      <c r="X2" s="1"/>
      <c r="Y2" s="1"/>
      <c r="Z2" s="1"/>
    </row>
    <row r="3" ht="24.75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13" t="s">
        <v>2</v>
      </c>
      <c r="O3" s="14"/>
      <c r="P3" s="15" t="inlineStr">
        <is>
          <t xml:space="preserve"/>
        </is>
      </c>
      <c r="Q3" s="16"/>
      <c r="R3" s="17"/>
      <c r="S3" s="1"/>
      <c r="T3" s="1"/>
      <c r="U3" s="1"/>
      <c r="V3" s="1"/>
      <c r="W3" s="1"/>
      <c r="X3" s="1"/>
      <c r="Y3" s="1"/>
      <c r="Z3" s="1"/>
    </row>
    <row r="4" ht="27.75" customHeight="1">
      <c r="A4" s="18" t="s">
        <v>4</v>
      </c>
      <c r="B4" s="16"/>
      <c r="C4" s="14"/>
      <c r="D4" s="19" t="inlineStr">
        <is>
          <t xml:space="preserve"/>
        </is>
      </c>
      <c r="E4" s="14"/>
      <c r="F4" s="13" t="s">
        <v>6</v>
      </c>
      <c r="G4" s="14"/>
      <c r="H4" s="19" t="inlineStr">
        <is>
          <t xml:space="preserve"/>
        </is>
      </c>
      <c r="I4" s="16"/>
      <c r="J4" s="14"/>
      <c r="K4" s="13" t="s">
        <v>8</v>
      </c>
      <c r="L4" s="16"/>
      <c r="M4" s="14"/>
      <c r="N4" s="20" t="inlineStr">
        <is>
          <t xml:space="preserve"/>
        </is>
      </c>
      <c r="O4" s="16"/>
      <c r="P4" s="16"/>
      <c r="Q4" s="16"/>
      <c r="R4" s="17"/>
      <c r="S4" s="1"/>
      <c r="T4" s="1"/>
      <c r="U4" s="1"/>
      <c r="V4" s="1"/>
      <c r="W4" s="1"/>
      <c r="X4" s="1"/>
      <c r="Y4" s="1"/>
      <c r="Z4" s="1"/>
    </row>
    <row r="5" ht="24.75" customHeight="1">
      <c r="A5" s="18" t="s">
        <v>10</v>
      </c>
      <c r="B5" s="16"/>
      <c r="C5" s="14"/>
      <c r="D5" s="19" t="inlineStr">
        <is>
          <t xml:space="preserve"/>
        </is>
      </c>
      <c r="E5" s="16"/>
      <c r="F5" s="16"/>
      <c r="G5" s="14"/>
      <c r="H5" s="13" t="s">
        <v>12</v>
      </c>
      <c r="I5" s="16"/>
      <c r="J5" s="14"/>
      <c r="K5" s="19" t="s">
        <v>13</v>
      </c>
      <c r="L5" s="16"/>
      <c r="M5" s="14"/>
      <c r="N5" s="13" t="s">
        <v>14</v>
      </c>
      <c r="O5" s="14"/>
      <c r="P5" s="19" t="s">
        <v>15</v>
      </c>
      <c r="Q5" s="16"/>
      <c r="R5" s="17"/>
      <c r="S5" s="1"/>
      <c r="T5" s="1"/>
      <c r="U5" s="1"/>
      <c r="V5" s="1"/>
      <c r="W5" s="1"/>
      <c r="X5" s="1"/>
      <c r="Y5" s="1"/>
      <c r="Z5" s="1"/>
    </row>
    <row r="6" ht="24.75" customHeight="1">
      <c r="A6" s="18" t="s">
        <v>16</v>
      </c>
      <c r="B6" s="16"/>
      <c r="C6" s="14"/>
      <c r="D6" s="19">
        <v>12.0</v>
      </c>
      <c r="E6" s="14"/>
      <c r="F6" s="13" t="s">
        <v>17</v>
      </c>
      <c r="G6" s="14"/>
      <c r="H6" s="19">
        <f>12+0.1</f>
        <v>12.1</v>
      </c>
      <c r="I6" s="14"/>
      <c r="J6" s="13" t="s">
        <v>18</v>
      </c>
      <c r="K6" s="14"/>
      <c r="L6" s="19">
        <f>12-0.1</f>
        <v>11.9</v>
      </c>
      <c r="M6" s="14"/>
      <c r="N6" s="13" t="s">
        <v>19</v>
      </c>
      <c r="O6" s="14"/>
      <c r="P6" s="21" t="str">
        <f>IF(AND(ISBLANK(H6),ISBLANK(L6)),"D",IF(ISBLANK(H6),"C",IF(ISBLANK(L6),"B","A")))</f>
        <v>A</v>
      </c>
      <c r="Q6" s="22" t="str">
        <f>IF(P6="A","Both",IF(P6="B","Under",IF(P6="C","Over","#N/A")))</f>
        <v>Both</v>
      </c>
      <c r="R6" s="17"/>
      <c r="S6" s="1"/>
      <c r="T6" s="1"/>
      <c r="U6" s="1"/>
      <c r="V6" s="1"/>
      <c r="W6" s="1"/>
      <c r="X6" s="1"/>
      <c r="Y6" s="1"/>
      <c r="Z6" s="1"/>
    </row>
    <row r="7" ht="4.5" customHeight="1">
      <c r="A7" s="2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4"/>
      <c r="O7" s="1"/>
      <c r="P7" s="1"/>
      <c r="Q7" s="1"/>
      <c r="R7" s="25"/>
      <c r="S7" s="1"/>
      <c r="T7" s="1"/>
      <c r="U7" s="1"/>
      <c r="V7" s="1"/>
      <c r="W7" s="1"/>
      <c r="X7" s="1"/>
      <c r="Y7" s="1"/>
      <c r="Z7" s="1"/>
    </row>
    <row r="8" ht="13.5" customHeight="1">
      <c r="A8" s="23"/>
      <c r="B8" s="26" t="s">
        <v>20</v>
      </c>
      <c r="C8" s="14"/>
      <c r="D8" s="27">
        <v>1.0</v>
      </c>
      <c r="E8" s="27">
        <v>2.0</v>
      </c>
      <c r="F8" s="27">
        <v>3.0</v>
      </c>
      <c r="G8" s="27">
        <v>4.0</v>
      </c>
      <c r="H8" s="27">
        <v>5.0</v>
      </c>
      <c r="I8" s="27">
        <v>6.0</v>
      </c>
      <c r="J8" s="27">
        <v>7.0</v>
      </c>
      <c r="K8" s="27">
        <v>8.0</v>
      </c>
      <c r="L8" s="27">
        <v>9.0</v>
      </c>
      <c r="M8" s="28">
        <v>10.0</v>
      </c>
      <c r="N8" s="29" t="s">
        <v>21</v>
      </c>
      <c r="O8" s="30"/>
      <c r="P8" s="30"/>
      <c r="Q8" s="31"/>
      <c r="R8" s="25"/>
      <c r="S8" s="1"/>
      <c r="T8" s="1"/>
      <c r="U8" s="1"/>
      <c r="V8" s="1"/>
      <c r="W8" s="1"/>
      <c r="X8" s="1"/>
      <c r="Y8" s="1"/>
      <c r="Z8" s="1"/>
    </row>
    <row r="9" ht="13.5" customHeight="1">
      <c r="A9" s="23"/>
      <c r="B9" s="32" t="s">
        <v>22</v>
      </c>
      <c r="C9" s="14"/>
      <c r="D9" s="33">
        <v>12.02</v>
      </c>
      <c r="E9" s="33">
        <v>12.02</v>
      </c>
      <c r="F9" s="33">
        <v>12.05</v>
      </c>
      <c r="G9" s="33">
        <v>12.05</v>
      </c>
      <c r="H9" s="33">
        <v>12.01</v>
      </c>
      <c r="I9" s="33">
        <v>12.03</v>
      </c>
      <c r="J9" s="33">
        <v>12.05</v>
      </c>
      <c r="K9" s="33">
        <v>11.98</v>
      </c>
      <c r="L9" s="33">
        <v>11.98</v>
      </c>
      <c r="M9" s="34">
        <v>11.99</v>
      </c>
      <c r="N9" s="35" t="s">
        <v>23</v>
      </c>
      <c r="O9" s="36"/>
      <c r="P9" s="37" t="s">
        <v>24</v>
      </c>
      <c r="Q9" s="38" t="s">
        <v>25</v>
      </c>
      <c r="R9" s="25"/>
      <c r="S9" s="1"/>
      <c r="T9" s="1"/>
      <c r="U9" s="1"/>
      <c r="V9" s="1"/>
      <c r="W9" s="1"/>
      <c r="X9" s="1"/>
      <c r="Y9" s="1"/>
      <c r="Z9" s="1"/>
    </row>
    <row r="10" ht="13.5" customHeight="1">
      <c r="A10" s="23"/>
      <c r="B10" s="32" t="s">
        <v>26</v>
      </c>
      <c r="C10" s="14"/>
      <c r="D10" s="33">
        <v>12.02</v>
      </c>
      <c r="E10" s="33">
        <v>11.99</v>
      </c>
      <c r="F10" s="33">
        <v>11.99</v>
      </c>
      <c r="G10" s="33">
        <v>12.04</v>
      </c>
      <c r="H10" s="33">
        <v>12.02</v>
      </c>
      <c r="I10" s="33">
        <v>12.07</v>
      </c>
      <c r="J10" s="33">
        <v>12.06</v>
      </c>
      <c r="K10" s="33">
        <v>12.05</v>
      </c>
      <c r="L10" s="33">
        <v>12.06</v>
      </c>
      <c r="M10" s="34">
        <v>12.02</v>
      </c>
      <c r="N10" s="10"/>
      <c r="O10" s="12"/>
      <c r="P10" s="39"/>
      <c r="Q10" s="40"/>
      <c r="R10" s="25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3"/>
      <c r="B11" s="32" t="s">
        <v>27</v>
      </c>
      <c r="C11" s="14"/>
      <c r="D11" s="33">
        <v>12.06</v>
      </c>
      <c r="E11" s="33">
        <v>12.04</v>
      </c>
      <c r="F11" s="33">
        <v>12.04</v>
      </c>
      <c r="G11" s="33">
        <v>12.02</v>
      </c>
      <c r="H11" s="33">
        <v>12.02</v>
      </c>
      <c r="I11" s="33">
        <v>12.01</v>
      </c>
      <c r="J11" s="33">
        <v>12.02</v>
      </c>
      <c r="K11" s="33">
        <v>12.04</v>
      </c>
      <c r="L11" s="33">
        <v>11.99</v>
      </c>
      <c r="M11" s="34">
        <v>12.01</v>
      </c>
      <c r="N11" s="41" t="s">
        <v>28</v>
      </c>
      <c r="O11" s="42"/>
      <c r="P11" s="43" t="s">
        <v>29</v>
      </c>
      <c r="Q11" s="40"/>
      <c r="R11" s="25"/>
      <c r="S11" s="1"/>
      <c r="T11" s="1"/>
      <c r="U11" s="1"/>
      <c r="V11" s="1"/>
      <c r="W11" s="1"/>
      <c r="X11" s="1"/>
      <c r="Y11" s="1"/>
      <c r="Z11" s="1"/>
    </row>
    <row r="12" ht="13.5" customHeight="1">
      <c r="A12" s="23"/>
      <c r="B12" s="32" t="s">
        <v>30</v>
      </c>
      <c r="C12" s="14"/>
      <c r="D12" s="33">
        <v>12.05</v>
      </c>
      <c r="E12" s="33">
        <v>12.04</v>
      </c>
      <c r="F12" s="33">
        <v>12.02</v>
      </c>
      <c r="G12" s="33">
        <v>12.01</v>
      </c>
      <c r="H12" s="33">
        <v>12.02</v>
      </c>
      <c r="I12" s="33">
        <v>12.03</v>
      </c>
      <c r="J12" s="33">
        <v>12.05</v>
      </c>
      <c r="K12" s="33">
        <v>12.06</v>
      </c>
      <c r="L12" s="33">
        <v>12.02</v>
      </c>
      <c r="M12" s="34">
        <v>12.06</v>
      </c>
      <c r="N12" s="10"/>
      <c r="O12" s="12"/>
      <c r="P12" s="39"/>
      <c r="Q12" s="44"/>
      <c r="R12" s="25"/>
      <c r="S12" s="1"/>
      <c r="T12" s="1"/>
      <c r="U12" s="1"/>
      <c r="V12" s="1"/>
      <c r="W12" s="1"/>
      <c r="X12" s="1"/>
      <c r="Y12" s="1"/>
      <c r="Z12" s="1"/>
    </row>
    <row r="13" ht="13.5" customHeight="1">
      <c r="A13" s="23"/>
      <c r="B13" s="32" t="s">
        <v>31</v>
      </c>
      <c r="C13" s="14"/>
      <c r="D13" s="33">
        <v>12.06</v>
      </c>
      <c r="E13" s="33">
        <v>12.04</v>
      </c>
      <c r="F13" s="33">
        <v>12.04</v>
      </c>
      <c r="G13" s="33">
        <v>12.04</v>
      </c>
      <c r="H13" s="33">
        <v>12.06</v>
      </c>
      <c r="I13" s="33">
        <v>12.05</v>
      </c>
      <c r="J13" s="33">
        <v>12.04</v>
      </c>
      <c r="K13" s="33">
        <v>12.08</v>
      </c>
      <c r="L13" s="33">
        <v>12.04</v>
      </c>
      <c r="M13" s="34">
        <v>12.054</v>
      </c>
      <c r="N13" s="45" t="s">
        <v>32</v>
      </c>
      <c r="O13" s="42"/>
      <c r="P13" s="46" t="s">
        <v>33</v>
      </c>
      <c r="Q13" s="47" t="s">
        <v>34</v>
      </c>
      <c r="R13" s="25"/>
      <c r="S13" s="1"/>
      <c r="T13" s="1"/>
      <c r="U13" s="1"/>
      <c r="V13" s="1"/>
      <c r="W13" s="1"/>
      <c r="X13" s="1"/>
      <c r="Y13" s="1"/>
      <c r="Z13" s="1"/>
    </row>
    <row r="14" ht="13.5" customHeight="1">
      <c r="A14" s="23"/>
      <c r="B14" s="32" t="s">
        <v>35</v>
      </c>
      <c r="C14" s="14"/>
      <c r="D14" s="33"/>
      <c r="E14" s="33"/>
      <c r="F14" s="33"/>
      <c r="G14" s="33"/>
      <c r="H14" s="33"/>
      <c r="I14" s="33"/>
      <c r="J14" s="33"/>
      <c r="K14" s="33"/>
      <c r="L14" s="33"/>
      <c r="M14" s="34"/>
      <c r="N14" s="10"/>
      <c r="O14" s="12"/>
      <c r="P14" s="39"/>
      <c r="Q14" s="40"/>
      <c r="R14" s="25"/>
      <c r="S14" s="1"/>
      <c r="T14" s="1"/>
      <c r="U14" s="1"/>
      <c r="V14" s="1"/>
      <c r="W14" s="1"/>
      <c r="X14" s="1"/>
      <c r="Y14" s="1"/>
      <c r="Z14" s="1"/>
    </row>
    <row r="15" ht="13.5" customHeight="1">
      <c r="A15" s="23"/>
      <c r="B15" s="32" t="s">
        <v>36</v>
      </c>
      <c r="C15" s="14"/>
      <c r="D15" s="33"/>
      <c r="E15" s="33"/>
      <c r="F15" s="33"/>
      <c r="G15" s="33"/>
      <c r="H15" s="33"/>
      <c r="I15" s="33"/>
      <c r="J15" s="33"/>
      <c r="K15" s="33"/>
      <c r="L15" s="33"/>
      <c r="M15" s="34"/>
      <c r="N15" s="45" t="s">
        <v>37</v>
      </c>
      <c r="O15" s="42"/>
      <c r="P15" s="48" t="s">
        <v>38</v>
      </c>
      <c r="Q15" s="40"/>
      <c r="R15" s="25"/>
      <c r="S15" s="1"/>
      <c r="T15" s="1"/>
      <c r="U15" s="1"/>
      <c r="V15" s="1"/>
      <c r="W15" s="1"/>
      <c r="X15" s="1"/>
      <c r="Y15" s="1"/>
      <c r="Z15" s="1"/>
    </row>
    <row r="16" ht="13.5" customHeight="1">
      <c r="A16" s="23"/>
      <c r="B16" s="32" t="s">
        <v>39</v>
      </c>
      <c r="C16" s="14"/>
      <c r="D16" s="33"/>
      <c r="E16" s="33"/>
      <c r="F16" s="33"/>
      <c r="G16" s="33"/>
      <c r="H16" s="33"/>
      <c r="I16" s="33"/>
      <c r="J16" s="33"/>
      <c r="K16" s="33"/>
      <c r="L16" s="33"/>
      <c r="M16" s="34"/>
      <c r="N16" s="10"/>
      <c r="O16" s="12"/>
      <c r="P16" s="39"/>
      <c r="Q16" s="40"/>
      <c r="R16" s="25"/>
      <c r="S16" s="1"/>
      <c r="T16" s="1">
        <f>(1-1/1000000)</f>
        <v>0.999999</v>
      </c>
      <c r="U16" s="1"/>
      <c r="V16" s="1"/>
      <c r="W16" s="1"/>
      <c r="X16" s="1"/>
      <c r="Y16" s="1"/>
      <c r="Z16" s="1"/>
    </row>
    <row r="17" ht="13.5" customHeight="1">
      <c r="A17" s="23"/>
      <c r="B17" s="32" t="s">
        <v>40</v>
      </c>
      <c r="C17" s="14"/>
      <c r="D17" s="33"/>
      <c r="E17" s="33"/>
      <c r="F17" s="33"/>
      <c r="G17" s="33"/>
      <c r="H17" s="33"/>
      <c r="I17" s="33"/>
      <c r="J17" s="33"/>
      <c r="K17" s="33"/>
      <c r="L17" s="33"/>
      <c r="M17" s="34"/>
      <c r="N17" s="45" t="s">
        <v>41</v>
      </c>
      <c r="O17" s="42"/>
      <c r="P17" s="48" t="s">
        <v>42</v>
      </c>
      <c r="Q17" s="40"/>
      <c r="R17" s="25"/>
      <c r="S17" s="1"/>
      <c r="T17" s="49">
        <f>NORMSINV(T16)</f>
        <v>4.753424314</v>
      </c>
      <c r="U17" s="1"/>
      <c r="V17" s="1"/>
      <c r="W17" s="1"/>
      <c r="X17" s="1"/>
      <c r="Y17" s="1"/>
      <c r="Z17" s="1"/>
    </row>
    <row r="18" ht="13.5" customHeight="1">
      <c r="A18" s="23"/>
      <c r="B18" s="32" t="s">
        <v>43</v>
      </c>
      <c r="C18" s="14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50"/>
      <c r="O18" s="51"/>
      <c r="P18" s="52"/>
      <c r="Q18" s="53"/>
      <c r="R18" s="25"/>
      <c r="S18" s="1"/>
      <c r="T18" s="1">
        <f>+T17+1.5</f>
        <v>6.253424314</v>
      </c>
      <c r="U18" s="1"/>
      <c r="V18" s="1"/>
      <c r="W18" s="1"/>
      <c r="X18" s="1"/>
      <c r="Y18" s="1"/>
      <c r="Z18" s="1"/>
    </row>
    <row r="19" ht="4.5" customHeight="1">
      <c r="A19" s="23"/>
      <c r="B19" s="54"/>
      <c r="C19" s="54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1"/>
      <c r="O19" s="1"/>
      <c r="P19" s="1"/>
      <c r="Q19" s="1"/>
      <c r="R19" s="25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8" t="s">
        <v>44</v>
      </c>
      <c r="B20" s="14"/>
      <c r="C20" s="56">
        <f>D155</f>
        <v>11.98</v>
      </c>
      <c r="D20" s="14"/>
      <c r="E20" s="57" t="s">
        <v>45</v>
      </c>
      <c r="F20" s="56">
        <f>D156</f>
        <v>12.08</v>
      </c>
      <c r="G20" s="14"/>
      <c r="H20" s="57" t="s">
        <v>46</v>
      </c>
      <c r="I20" s="56">
        <f>D157</f>
        <v>12.03228</v>
      </c>
      <c r="J20" s="14"/>
      <c r="K20" s="57" t="s">
        <v>47</v>
      </c>
      <c r="L20" s="56">
        <f>D158</f>
        <v>0.02416612573</v>
      </c>
      <c r="M20" s="14"/>
      <c r="N20" s="58" t="s">
        <v>48</v>
      </c>
      <c r="O20" s="14"/>
      <c r="P20" s="59">
        <f>+D165</f>
        <v>2537.244255</v>
      </c>
      <c r="Q20" s="16"/>
      <c r="R20" s="17"/>
      <c r="S20" s="1"/>
      <c r="T20" s="49">
        <f>NORMSINV(1-MAX(D163:D164)/1000000)</f>
        <v>2.802269624</v>
      </c>
      <c r="U20" s="60">
        <f>D165/1000000</f>
        <v>0.002537244255</v>
      </c>
      <c r="V20" s="1">
        <f>+U20*1000000</f>
        <v>2537.244255</v>
      </c>
      <c r="W20" s="1"/>
      <c r="X20" s="1"/>
      <c r="Y20" s="1"/>
      <c r="Z20" s="1"/>
    </row>
    <row r="21" ht="27.0" customHeight="1">
      <c r="A21" s="61" t="s">
        <v>49</v>
      </c>
      <c r="B21" s="14"/>
      <c r="C21" s="62">
        <f>D159</f>
        <v>1.37934122</v>
      </c>
      <c r="D21" s="14"/>
      <c r="E21" s="63" t="s">
        <v>50</v>
      </c>
      <c r="F21" s="64">
        <f>D161</f>
        <v>0.9340898739</v>
      </c>
      <c r="G21" s="14"/>
      <c r="H21" s="63" t="s">
        <v>51</v>
      </c>
      <c r="I21" s="64">
        <f>D162</f>
        <v>1.824592565</v>
      </c>
      <c r="J21" s="14"/>
      <c r="K21" s="65" t="s">
        <v>52</v>
      </c>
      <c r="L21" s="66">
        <f>D160</f>
        <v>0.9340898739</v>
      </c>
      <c r="M21" s="14"/>
      <c r="N21" s="58" t="s">
        <v>53</v>
      </c>
      <c r="O21" s="14"/>
      <c r="P21" s="67">
        <f>NORMSINV(1-SUM(D163:D164)/1000000)+1.5</f>
        <v>4.302266823</v>
      </c>
      <c r="Q21" s="16"/>
      <c r="R21" s="17"/>
      <c r="S21" s="1"/>
      <c r="T21" s="1">
        <f>+T20+1.5</f>
        <v>4.302269624</v>
      </c>
      <c r="U21" s="1">
        <f t="shared" ref="U21:U22" si="1">+D163</f>
        <v>2537.222228</v>
      </c>
      <c r="V21" s="1"/>
      <c r="W21" s="1"/>
      <c r="X21" s="1"/>
      <c r="Y21" s="1"/>
      <c r="Z21" s="1"/>
    </row>
    <row r="22" ht="27.0" customHeight="1">
      <c r="A22" s="68" t="s">
        <v>54</v>
      </c>
      <c r="B22" s="16"/>
      <c r="C22" s="16"/>
      <c r="D22" s="16"/>
      <c r="E22" s="14"/>
      <c r="F22" s="6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7"/>
      <c r="S22" s="1"/>
      <c r="T22" s="70">
        <f>+L21</f>
        <v>0.9340898739</v>
      </c>
      <c r="U22" s="1">
        <f t="shared" si="1"/>
        <v>0.02202708338</v>
      </c>
      <c r="V22" s="1"/>
      <c r="W22" s="1"/>
      <c r="X22" s="1"/>
      <c r="Y22" s="1"/>
      <c r="Z22" s="1"/>
    </row>
    <row r="23" ht="15.0" customHeight="1">
      <c r="A23" s="23"/>
      <c r="B23" s="71" t="s">
        <v>55</v>
      </c>
      <c r="R23" s="25"/>
      <c r="S23" s="1"/>
      <c r="T23" s="1"/>
      <c r="U23" s="1">
        <f>+MAX(D163:D164)</f>
        <v>2537.222228</v>
      </c>
      <c r="V23" s="1"/>
      <c r="W23" s="1"/>
      <c r="X23" s="1"/>
      <c r="Y23" s="1"/>
      <c r="Z23" s="1"/>
    </row>
    <row r="24" ht="15.75" customHeight="1">
      <c r="A24" s="2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5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5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5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5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5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5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5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5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5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5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5"/>
      <c r="S34" s="1"/>
      <c r="T34" s="1"/>
      <c r="U34" s="1"/>
      <c r="V34" s="1"/>
      <c r="W34" s="1"/>
      <c r="X34" s="1"/>
      <c r="Y34" s="1"/>
      <c r="Z34" s="1"/>
    </row>
    <row r="35" ht="15.0" customHeight="1">
      <c r="A35" s="23"/>
      <c r="B35" s="71" t="s">
        <v>56</v>
      </c>
      <c r="R35" s="25"/>
      <c r="S35" s="1"/>
      <c r="T35" s="1"/>
      <c r="U35" s="1"/>
      <c r="V35" s="1"/>
      <c r="W35" s="1"/>
      <c r="X35" s="1"/>
      <c r="Y35" s="1"/>
      <c r="Z35" s="1"/>
    </row>
    <row r="36" ht="15.0" customHeight="1">
      <c r="A36" s="2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5"/>
      <c r="S36" s="1"/>
      <c r="T36" s="1"/>
      <c r="U36" s="1"/>
      <c r="V36" s="1"/>
      <c r="W36" s="1"/>
      <c r="X36" s="1"/>
      <c r="Y36" s="1"/>
      <c r="Z36" s="1"/>
    </row>
    <row r="37" ht="15.0" customHeight="1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5"/>
      <c r="S37" s="1"/>
      <c r="T37" s="1"/>
      <c r="U37" s="1"/>
      <c r="V37" s="1"/>
      <c r="W37" s="1"/>
      <c r="X37" s="1"/>
      <c r="Y37" s="1"/>
      <c r="Z37" s="1"/>
    </row>
    <row r="38" ht="15.0" customHeight="1">
      <c r="A38" s="2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5"/>
      <c r="S38" s="1"/>
      <c r="T38" s="1"/>
      <c r="U38" s="1"/>
      <c r="V38" s="1"/>
      <c r="W38" s="1"/>
      <c r="X38" s="1"/>
      <c r="Y38" s="1"/>
      <c r="Z38" s="1"/>
    </row>
    <row r="39" ht="15.0" customHeight="1">
      <c r="A39" s="2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5"/>
      <c r="S39" s="1"/>
      <c r="T39" s="1"/>
      <c r="U39" s="1"/>
      <c r="V39" s="1"/>
      <c r="W39" s="1"/>
      <c r="X39" s="1"/>
      <c r="Y39" s="1"/>
      <c r="Z39" s="1"/>
    </row>
    <row r="40" ht="15.0" customHeight="1">
      <c r="A40" s="2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5"/>
      <c r="S40" s="1"/>
      <c r="T40" s="1"/>
      <c r="U40" s="1"/>
      <c r="V40" s="1"/>
      <c r="W40" s="1"/>
      <c r="X40" s="1"/>
      <c r="Y40" s="1"/>
      <c r="Z40" s="1"/>
    </row>
    <row r="41" ht="15.0" customHeight="1">
      <c r="A41" s="2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5"/>
      <c r="S41" s="1"/>
      <c r="T41" s="1"/>
      <c r="U41" s="1"/>
      <c r="V41" s="1"/>
      <c r="W41" s="1"/>
      <c r="X41" s="1"/>
      <c r="Y41" s="1"/>
      <c r="Z41" s="1"/>
    </row>
    <row r="42" ht="15.0" customHeight="1">
      <c r="A42" s="2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5"/>
      <c r="S42" s="1"/>
      <c r="T42" s="1"/>
      <c r="U42" s="1"/>
      <c r="V42" s="1"/>
      <c r="W42" s="1"/>
      <c r="X42" s="1"/>
      <c r="Y42" s="1"/>
      <c r="Z42" s="1"/>
    </row>
    <row r="43" ht="15.0" customHeight="1">
      <c r="A43" s="2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5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5"/>
      <c r="S44" s="1"/>
      <c r="T44" s="1"/>
      <c r="U44" s="1"/>
      <c r="V44" s="1"/>
      <c r="W44" s="1"/>
      <c r="X44" s="1"/>
      <c r="Y44" s="1"/>
      <c r="Z44" s="1"/>
    </row>
    <row r="45" ht="15.0" customHeight="1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5"/>
      <c r="S45" s="1"/>
      <c r="T45" s="1"/>
      <c r="U45" s="1"/>
      <c r="V45" s="1"/>
      <c r="W45" s="1"/>
      <c r="X45" s="1"/>
      <c r="Y45" s="1"/>
      <c r="Z45" s="1"/>
    </row>
    <row r="46" ht="15.0" customHeight="1">
      <c r="A46" s="2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5"/>
      <c r="S46" s="1"/>
      <c r="T46" s="1"/>
      <c r="U46" s="1"/>
      <c r="V46" s="1"/>
      <c r="W46" s="1"/>
      <c r="X46" s="1"/>
      <c r="Y46" s="1"/>
      <c r="Z46" s="1"/>
    </row>
    <row r="47" ht="4.5" customHeight="1">
      <c r="A47" s="7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4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2.0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75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2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2.75" customHeight="1">
      <c r="A52" s="49">
        <f t="shared" ref="A52:A151" si="2">IF(ISTEXT(B52)=TRUE,1,0)</f>
        <v>0</v>
      </c>
      <c r="B52" s="76">
        <f>IF(ISBLANK(D9),NA(),D9)</f>
        <v>12.02</v>
      </c>
      <c r="C52" s="49">
        <f>IF(P6="C",D157+(D157-L6),H6)</f>
        <v>12.1</v>
      </c>
      <c r="D52" s="49">
        <f>IF(P6="A",(H6+L6)/2,D157)</f>
        <v>12</v>
      </c>
      <c r="E52" s="49">
        <f>L6</f>
        <v>11.9</v>
      </c>
      <c r="F52" s="49">
        <f>F53-F293</f>
        <v>11.78</v>
      </c>
      <c r="G52" s="49">
        <f>SUM(L52:L62)</f>
        <v>0</v>
      </c>
      <c r="H52" s="49"/>
      <c r="I52" s="49">
        <f>NORMDIST(F52,D157,D158,FALSE)*(F294*10/M293)</f>
        <v>0</v>
      </c>
      <c r="J52" s="49">
        <f>SUM(L52:L61)</f>
        <v>0</v>
      </c>
      <c r="K52" s="49"/>
      <c r="L52" s="49">
        <f t="array" ref="L52:L292">FREQUENCY(D9:M18,F52:F292)</f>
        <v>0</v>
      </c>
      <c r="M52" s="49">
        <f>NORMDIST(F52,$D$157,$D$158,FALSE)</f>
        <v>0</v>
      </c>
      <c r="N52" s="77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2.75" customHeight="1">
      <c r="A53" s="49">
        <f t="shared" si="2"/>
        <v>0</v>
      </c>
      <c r="B53" s="76">
        <f>IF(ISBLANK(E9),NA(),E9)</f>
        <v>12.02</v>
      </c>
      <c r="C53" s="49">
        <f>IF(P6="C",D157+(D157-L6),H6)</f>
        <v>12.1</v>
      </c>
      <c r="D53" s="49">
        <f>IF(P6="A",(H6+L6)/2,D157)</f>
        <v>12</v>
      </c>
      <c r="E53" s="49">
        <f>L6</f>
        <v>11.9</v>
      </c>
      <c r="F53" s="49">
        <f>F54-F293</f>
        <v>11.782</v>
      </c>
      <c r="G53" s="49"/>
      <c r="H53" s="49"/>
      <c r="I53" s="49">
        <f>NORMDIST(F53,D157,D158,FALSE)*(F294*10/M293)</f>
        <v>0</v>
      </c>
      <c r="J53" s="49">
        <f>SUM(L52:L61)</f>
        <v>0</v>
      </c>
      <c r="K53" s="49"/>
      <c r="L53" s="49">
        <v>0.0</v>
      </c>
      <c r="M53" s="49">
        <f>NORMDIST(F53,D157,D158,FALSE)</f>
        <v>0</v>
      </c>
      <c r="N53" s="77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2.75" customHeight="1">
      <c r="A54" s="49">
        <f t="shared" si="2"/>
        <v>0</v>
      </c>
      <c r="B54" s="76">
        <f>IF(ISBLANK(F9),NA(),F9)</f>
        <v>12.05</v>
      </c>
      <c r="C54" s="49">
        <f>IF(P6="C",D157+(D157-L6),H6)</f>
        <v>12.1</v>
      </c>
      <c r="D54" s="49">
        <f>IF(P6="A",(H6+L6)/2,D157)</f>
        <v>12</v>
      </c>
      <c r="E54" s="49">
        <f>L6</f>
        <v>11.9</v>
      </c>
      <c r="F54" s="49">
        <f>F55-F293</f>
        <v>11.784</v>
      </c>
      <c r="G54" s="49"/>
      <c r="H54" s="49"/>
      <c r="I54" s="49">
        <f>NORMDIST(F54,D157,D158,FALSE)*(F294*10/M293)</f>
        <v>0</v>
      </c>
      <c r="J54" s="49">
        <f>SUM(L52:L61)</f>
        <v>0</v>
      </c>
      <c r="K54" s="49"/>
      <c r="L54" s="49">
        <v>0.0</v>
      </c>
      <c r="M54" s="49">
        <f>NORMDIST(F54,D157,D158,FALSE)</f>
        <v>0</v>
      </c>
      <c r="N54" s="77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2.75" customHeight="1">
      <c r="A55" s="49">
        <f t="shared" si="2"/>
        <v>0</v>
      </c>
      <c r="B55" s="76">
        <f>IF(ISBLANK(G9),NA(),G9)</f>
        <v>12.05</v>
      </c>
      <c r="C55" s="49">
        <f>IF(P6="C",D157+(D157-L6),H6)</f>
        <v>12.1</v>
      </c>
      <c r="D55" s="49">
        <f>IF(P6="A",(H6+L6)/2,D157)</f>
        <v>12</v>
      </c>
      <c r="E55" s="49">
        <f>L6</f>
        <v>11.9</v>
      </c>
      <c r="F55" s="49">
        <f>F56-F293</f>
        <v>11.786</v>
      </c>
      <c r="G55" s="49"/>
      <c r="H55" s="49"/>
      <c r="I55" s="49">
        <f>NORMDIST(F55,D157,D158,FALSE)*(F294*10/M293)</f>
        <v>0</v>
      </c>
      <c r="J55" s="49">
        <f>SUM(L52:L61)</f>
        <v>0</v>
      </c>
      <c r="K55" s="49"/>
      <c r="L55" s="49">
        <v>0.0</v>
      </c>
      <c r="M55" s="49">
        <f>NORMDIST(F55,D157,D158,FALSE)</f>
        <v>0</v>
      </c>
      <c r="N55" s="77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2.75" customHeight="1">
      <c r="A56" s="49">
        <f t="shared" si="2"/>
        <v>0</v>
      </c>
      <c r="B56" s="76">
        <f>IF(ISBLANK(H9),NA(),H9)</f>
        <v>12.01</v>
      </c>
      <c r="C56" s="49">
        <f>IF(P6="C",D157+(D157-L6),H6)</f>
        <v>12.1</v>
      </c>
      <c r="D56" s="49">
        <f>IF(P6="A",(H6+L6)/2,D157)</f>
        <v>12</v>
      </c>
      <c r="E56" s="49">
        <f>L6</f>
        <v>11.9</v>
      </c>
      <c r="F56" s="49">
        <f>F57-F293</f>
        <v>11.788</v>
      </c>
      <c r="G56" s="49"/>
      <c r="H56" s="49"/>
      <c r="I56" s="49">
        <f>NORMDIST(F56,D157,D158,FALSE)*(F294*10/M293)</f>
        <v>0</v>
      </c>
      <c r="J56" s="49">
        <f>SUM(L52:L61)</f>
        <v>0</v>
      </c>
      <c r="K56" s="49"/>
      <c r="L56" s="49">
        <v>0.0</v>
      </c>
      <c r="M56" s="49">
        <f>NORMDIST(F56,D157,D158,FALSE)</f>
        <v>0</v>
      </c>
      <c r="N56" s="77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2.75" customHeight="1">
      <c r="A57" s="49">
        <f t="shared" si="2"/>
        <v>0</v>
      </c>
      <c r="B57" s="76">
        <f>IF(ISBLANK(I9),NA(),I9)</f>
        <v>12.03</v>
      </c>
      <c r="C57" s="49">
        <f>IF(P6="C",D157+(D157-L6),H6)</f>
        <v>12.1</v>
      </c>
      <c r="D57" s="49">
        <f>IF(P6="A",(H6+L6)/2,D157)</f>
        <v>12</v>
      </c>
      <c r="E57" s="49">
        <f>L6</f>
        <v>11.9</v>
      </c>
      <c r="F57" s="49">
        <f>F58-F293</f>
        <v>11.79</v>
      </c>
      <c r="G57" s="49"/>
      <c r="H57" s="49"/>
      <c r="I57" s="49">
        <f>NORMDIST(F57,D157,D158,FALSE)*(F294*10/M293)</f>
        <v>0</v>
      </c>
      <c r="J57" s="49">
        <f>SUM(L52:L61)</f>
        <v>0</v>
      </c>
      <c r="K57" s="49"/>
      <c r="L57" s="49">
        <v>0.0</v>
      </c>
      <c r="M57" s="49">
        <f>NORMDIST(F57,D157,D158,FALSE)</f>
        <v>0</v>
      </c>
      <c r="N57" s="77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2.75" customHeight="1">
      <c r="A58" s="49">
        <f t="shared" si="2"/>
        <v>0</v>
      </c>
      <c r="B58" s="76">
        <f>IF(ISBLANK(J9),NA(),J9)</f>
        <v>12.05</v>
      </c>
      <c r="C58" s="49">
        <f>IF(P6="C",D157+(D157-L6),H6)</f>
        <v>12.1</v>
      </c>
      <c r="D58" s="49">
        <f>IF(P6="A",(H6+L6)/2,D157)</f>
        <v>12</v>
      </c>
      <c r="E58" s="49">
        <f>L6</f>
        <v>11.9</v>
      </c>
      <c r="F58" s="49">
        <f>F59-F293</f>
        <v>11.792</v>
      </c>
      <c r="G58" s="49"/>
      <c r="H58" s="49"/>
      <c r="I58" s="49">
        <f>NORMDIST(F58,D157,D158,FALSE)*(F294*10/M293)</f>
        <v>0</v>
      </c>
      <c r="J58" s="49">
        <f>SUM(L52:L61)</f>
        <v>0</v>
      </c>
      <c r="K58" s="49"/>
      <c r="L58" s="49">
        <v>0.0</v>
      </c>
      <c r="M58" s="49">
        <f>NORMDIST(F58,D157,D158,FALSE)</f>
        <v>0</v>
      </c>
      <c r="N58" s="77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2.75" customHeight="1">
      <c r="A59" s="49">
        <f t="shared" si="2"/>
        <v>0</v>
      </c>
      <c r="B59" s="76">
        <f>IF(ISBLANK(K9),NA(),K9)</f>
        <v>11.98</v>
      </c>
      <c r="C59" s="49">
        <f>IF(P6="C",D157+(D157-L6),H6)</f>
        <v>12.1</v>
      </c>
      <c r="D59" s="49">
        <f>IF(P6="A",(H6+L6)/2,D157)</f>
        <v>12</v>
      </c>
      <c r="E59" s="49">
        <f>L6</f>
        <v>11.9</v>
      </c>
      <c r="F59" s="49">
        <f>F60-F293</f>
        <v>11.794</v>
      </c>
      <c r="G59" s="49"/>
      <c r="H59" s="49"/>
      <c r="I59" s="49">
        <f>NORMDIST(F59,D157,D158,FALSE)*(F294*10/M293)</f>
        <v>0</v>
      </c>
      <c r="J59" s="49">
        <f>SUM(L52:L61)</f>
        <v>0</v>
      </c>
      <c r="K59" s="49"/>
      <c r="L59" s="49">
        <v>0.0</v>
      </c>
      <c r="M59" s="49">
        <f>NORMDIST(F59,D157,D158,FALSE)</f>
        <v>0</v>
      </c>
      <c r="N59" s="77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2.75" customHeight="1">
      <c r="A60" s="49">
        <f t="shared" si="2"/>
        <v>0</v>
      </c>
      <c r="B60" s="76">
        <f>IF(ISBLANK(L9),NA(),L9)</f>
        <v>11.98</v>
      </c>
      <c r="C60" s="49">
        <f>IF(P6="C",D157+(D157-L6),H6)</f>
        <v>12.1</v>
      </c>
      <c r="D60" s="49">
        <f>IF(P6="A",(H6+L6)/2,D157)</f>
        <v>12</v>
      </c>
      <c r="E60" s="49">
        <f>L6</f>
        <v>11.9</v>
      </c>
      <c r="F60" s="49">
        <f>F61-F293</f>
        <v>11.796</v>
      </c>
      <c r="G60" s="49"/>
      <c r="H60" s="49"/>
      <c r="I60" s="49">
        <f>NORMDIST(F60,D157,D158,FALSE)*(F294*10/M293)</f>
        <v>0</v>
      </c>
      <c r="J60" s="49">
        <f>SUM(L52:L61)</f>
        <v>0</v>
      </c>
      <c r="K60" s="49"/>
      <c r="L60" s="49">
        <v>0.0</v>
      </c>
      <c r="M60" s="49">
        <f>NORMDIST(F60,D157,D158,FALSE)</f>
        <v>0</v>
      </c>
      <c r="N60" s="77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2.75" customHeight="1">
      <c r="A61" s="49">
        <f t="shared" si="2"/>
        <v>0</v>
      </c>
      <c r="B61" s="76">
        <f>IF(ISBLANK(M9),NA(),M9)</f>
        <v>11.99</v>
      </c>
      <c r="C61" s="49">
        <f>IF(P6="C",D157+(D157-L6),H6)</f>
        <v>12.1</v>
      </c>
      <c r="D61" s="49">
        <f>IF(P6="A",(H6+L6)/2,D157)</f>
        <v>12</v>
      </c>
      <c r="E61" s="49">
        <f>L6</f>
        <v>11.9</v>
      </c>
      <c r="F61" s="49">
        <f>F62-F293</f>
        <v>11.798</v>
      </c>
      <c r="G61" s="49"/>
      <c r="H61" s="49"/>
      <c r="I61" s="49">
        <f>NORMDIST(F61,D157,D158,FALSE)*(F294*10/M293)</f>
        <v>0</v>
      </c>
      <c r="J61" s="49">
        <f>SUM(L52:L61)</f>
        <v>0</v>
      </c>
      <c r="K61" s="49"/>
      <c r="L61" s="49">
        <v>0.0</v>
      </c>
      <c r="M61" s="49">
        <f>NORMDIST(F61,D157,D158,FALSE)</f>
        <v>0</v>
      </c>
      <c r="N61" s="77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2.75" customHeight="1">
      <c r="A62" s="49">
        <f t="shared" si="2"/>
        <v>0</v>
      </c>
      <c r="B62" s="76">
        <f>IF(ISBLANK(D10),NA(),D10)</f>
        <v>12.02</v>
      </c>
      <c r="C62" s="49">
        <f>IF(P6="C",D157+(D157-L6),H6)</f>
        <v>12.1</v>
      </c>
      <c r="D62" s="49">
        <f>IF(P6="A",(H6+L6)/2,D157)</f>
        <v>12</v>
      </c>
      <c r="E62" s="49">
        <f>L6</f>
        <v>11.9</v>
      </c>
      <c r="F62" s="49">
        <f>F63-F293</f>
        <v>11.8</v>
      </c>
      <c r="G62" s="49">
        <f>IF(J62&gt;K62,J62,K62)</f>
        <v>0</v>
      </c>
      <c r="H62" s="49"/>
      <c r="I62" s="49">
        <f>NORMDIST(F62,D157,D158,FALSE)*(F294*10/M293)</f>
        <v>0</v>
      </c>
      <c r="J62" s="49">
        <f>SUM(L52:L61)</f>
        <v>0</v>
      </c>
      <c r="K62" s="49">
        <f>SUM(L62:L71)</f>
        <v>0</v>
      </c>
      <c r="L62" s="49">
        <v>0.0</v>
      </c>
      <c r="M62" s="49">
        <f>NORMDIST(F62,D157,D158,FALSE)</f>
        <v>0</v>
      </c>
      <c r="N62" s="77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2.75" customHeight="1">
      <c r="A63" s="49">
        <f t="shared" si="2"/>
        <v>0</v>
      </c>
      <c r="B63" s="76">
        <f>IF(ISBLANK(E10),NA(),E10)</f>
        <v>11.99</v>
      </c>
      <c r="C63" s="49">
        <f>IF(P6="C",D157+(D157-L6),H6)</f>
        <v>12.1</v>
      </c>
      <c r="D63" s="49">
        <f>IF(P6="A",(H6+L6)/2,D157)</f>
        <v>12</v>
      </c>
      <c r="E63" s="49">
        <f>L6</f>
        <v>11.9</v>
      </c>
      <c r="F63" s="49">
        <f>F64-F293</f>
        <v>11.802</v>
      </c>
      <c r="G63" s="49"/>
      <c r="H63" s="49"/>
      <c r="I63" s="49">
        <f>NORMDIST(F63,D157,D158,FALSE)*(F294*10/M293)</f>
        <v>0</v>
      </c>
      <c r="J63" s="49"/>
      <c r="K63" s="49">
        <f>SUM(L62:L71)</f>
        <v>0</v>
      </c>
      <c r="L63" s="49">
        <v>0.0</v>
      </c>
      <c r="M63" s="49">
        <f>NORMDIST(F63,D157,D158,FALSE)</f>
        <v>0</v>
      </c>
      <c r="N63" s="77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2.75" customHeight="1">
      <c r="A64" s="49">
        <f t="shared" si="2"/>
        <v>0</v>
      </c>
      <c r="B64" s="76">
        <f>IF(ISBLANK(F10),NA(),F10)</f>
        <v>11.99</v>
      </c>
      <c r="C64" s="49">
        <f>IF(P6="C",D157+(D157-L6),H6)</f>
        <v>12.1</v>
      </c>
      <c r="D64" s="49">
        <f>IF(P6="A",(H6+L6)/2,D157)</f>
        <v>12</v>
      </c>
      <c r="E64" s="49">
        <f>L6</f>
        <v>11.9</v>
      </c>
      <c r="F64" s="49">
        <f>F65-F293</f>
        <v>11.804</v>
      </c>
      <c r="G64" s="49"/>
      <c r="H64" s="49"/>
      <c r="I64" s="49">
        <f>NORMDIST(F64,D157,D158,FALSE)*(F294*10/M293)</f>
        <v>0</v>
      </c>
      <c r="J64" s="49"/>
      <c r="K64" s="49">
        <f>SUM(L62:L71)</f>
        <v>0</v>
      </c>
      <c r="L64" s="49">
        <v>0.0</v>
      </c>
      <c r="M64" s="49">
        <f>NORMDIST(F64,D157,D158,FALSE)</f>
        <v>0</v>
      </c>
      <c r="N64" s="77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2.75" customHeight="1">
      <c r="A65" s="49">
        <f t="shared" si="2"/>
        <v>0</v>
      </c>
      <c r="B65" s="76">
        <f>IF(ISBLANK(G10),NA(),G10)</f>
        <v>12.04</v>
      </c>
      <c r="C65" s="49">
        <f>IF(P6="C",D157+(D157-L6),H6)</f>
        <v>12.1</v>
      </c>
      <c r="D65" s="49">
        <f>IF(P6="A",(H6+L6)/2,D157)</f>
        <v>12</v>
      </c>
      <c r="E65" s="49">
        <f>L6</f>
        <v>11.9</v>
      </c>
      <c r="F65" s="49">
        <f>F66-F293</f>
        <v>11.806</v>
      </c>
      <c r="G65" s="49"/>
      <c r="H65" s="49"/>
      <c r="I65" s="49">
        <f>NORMDIST(F65,D157,D158,FALSE)*(F294*10/M293)</f>
        <v>0</v>
      </c>
      <c r="J65" s="49"/>
      <c r="K65" s="49">
        <f>SUM(L62:L71)</f>
        <v>0</v>
      </c>
      <c r="L65" s="49">
        <v>0.0</v>
      </c>
      <c r="M65" s="49">
        <f>NORMDIST(F65,D157,D158,FALSE)</f>
        <v>0</v>
      </c>
      <c r="N65" s="77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2.75" customHeight="1">
      <c r="A66" s="49">
        <f t="shared" si="2"/>
        <v>0</v>
      </c>
      <c r="B66" s="76">
        <f>IF(ISBLANK(H10),NA(),H10)</f>
        <v>12.02</v>
      </c>
      <c r="C66" s="49">
        <f>IF(P6="C",D157+(D157-L6),H6)</f>
        <v>12.1</v>
      </c>
      <c r="D66" s="49">
        <f>IF(P6="A",(H6+L6)/2,D157)</f>
        <v>12</v>
      </c>
      <c r="E66" s="49">
        <f>L6</f>
        <v>11.9</v>
      </c>
      <c r="F66" s="49">
        <f>F67-F293</f>
        <v>11.808</v>
      </c>
      <c r="G66" s="49"/>
      <c r="H66" s="49"/>
      <c r="I66" s="49">
        <f>NORMDIST(F66,D157,D158,FALSE)*(F294*10/M293)</f>
        <v>0</v>
      </c>
      <c r="J66" s="49"/>
      <c r="K66" s="49">
        <f>SUM(L62:L71)</f>
        <v>0</v>
      </c>
      <c r="L66" s="49">
        <v>0.0</v>
      </c>
      <c r="M66" s="49">
        <f>NORMDIST(F66,D157,D158,FALSE)</f>
        <v>0</v>
      </c>
      <c r="N66" s="77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2.75" customHeight="1">
      <c r="A67" s="49">
        <f t="shared" si="2"/>
        <v>0</v>
      </c>
      <c r="B67" s="76">
        <f>IF(ISBLANK(I10),NA(),I10)</f>
        <v>12.07</v>
      </c>
      <c r="C67" s="49">
        <f>IF(P6="C",D157+(D157-L6),H6)</f>
        <v>12.1</v>
      </c>
      <c r="D67" s="49">
        <f>IF(P6="A",(H6+L6)/2,D157)</f>
        <v>12</v>
      </c>
      <c r="E67" s="49">
        <f>L6</f>
        <v>11.9</v>
      </c>
      <c r="F67" s="49">
        <f>F68-F293</f>
        <v>11.81</v>
      </c>
      <c r="G67" s="49"/>
      <c r="H67" s="49"/>
      <c r="I67" s="49">
        <f>NORMDIST(F67,D157,D158,FALSE)*(F294*10/M293)</f>
        <v>0</v>
      </c>
      <c r="J67" s="49"/>
      <c r="K67" s="49">
        <f>SUM(L62:L71)</f>
        <v>0</v>
      </c>
      <c r="L67" s="49">
        <v>0.0</v>
      </c>
      <c r="M67" s="49">
        <f>NORMDIST(F67,D157,D158,FALSE)</f>
        <v>0</v>
      </c>
      <c r="N67" s="77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2.75" customHeight="1">
      <c r="A68" s="49">
        <f t="shared" si="2"/>
        <v>0</v>
      </c>
      <c r="B68" s="76">
        <f>IF(ISBLANK(J10),NA(),J10)</f>
        <v>12.06</v>
      </c>
      <c r="C68" s="49">
        <f>IF(P6="C",D157+(D157-L6),H6)</f>
        <v>12.1</v>
      </c>
      <c r="D68" s="49">
        <f>IF(P6="A",(H6+L6)/2,D157)</f>
        <v>12</v>
      </c>
      <c r="E68" s="49">
        <f>L6</f>
        <v>11.9</v>
      </c>
      <c r="F68" s="49">
        <f>F69-F293</f>
        <v>11.812</v>
      </c>
      <c r="G68" s="49"/>
      <c r="H68" s="49"/>
      <c r="I68" s="49">
        <f>NORMDIST(F68,D157,D158,FALSE)*(F294*10/M293)</f>
        <v>0</v>
      </c>
      <c r="J68" s="49"/>
      <c r="K68" s="49">
        <f>SUM(L62:L71)</f>
        <v>0</v>
      </c>
      <c r="L68" s="49">
        <v>0.0</v>
      </c>
      <c r="M68" s="49">
        <f>NORMDIST(F68,D157,D158,FALSE)</f>
        <v>0</v>
      </c>
      <c r="N68" s="77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2.75" customHeight="1">
      <c r="A69" s="49">
        <f t="shared" si="2"/>
        <v>0</v>
      </c>
      <c r="B69" s="76">
        <f>IF(ISBLANK(K10),NA(),K10)</f>
        <v>12.05</v>
      </c>
      <c r="C69" s="49">
        <f>IF(P6="C",D157+(D157-L6),H6)</f>
        <v>12.1</v>
      </c>
      <c r="D69" s="49">
        <f>IF(P6="A",(H6+L6)/2,D157)</f>
        <v>12</v>
      </c>
      <c r="E69" s="49">
        <f>L6</f>
        <v>11.9</v>
      </c>
      <c r="F69" s="49">
        <f>F70-F293</f>
        <v>11.814</v>
      </c>
      <c r="G69" s="49"/>
      <c r="H69" s="49"/>
      <c r="I69" s="49">
        <f>NORMDIST(F69,D157,D158,FALSE)*(F294*10/M293)</f>
        <v>0</v>
      </c>
      <c r="J69" s="49"/>
      <c r="K69" s="49">
        <f>SUM(L62:L71)</f>
        <v>0</v>
      </c>
      <c r="L69" s="49">
        <v>0.0</v>
      </c>
      <c r="M69" s="49">
        <f>NORMDIST(F69,D157,D158,FALSE)</f>
        <v>0</v>
      </c>
      <c r="N69" s="77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2.75" customHeight="1">
      <c r="A70" s="49">
        <f t="shared" si="2"/>
        <v>0</v>
      </c>
      <c r="B70" s="76">
        <f>IF(ISBLANK(L10),NA(),L10)</f>
        <v>12.06</v>
      </c>
      <c r="C70" s="49">
        <f>IF(P6="C",D157+(D157-L6),H6)</f>
        <v>12.1</v>
      </c>
      <c r="D70" s="49">
        <f>IF(P6="A",(H6+L6)/2,D157)</f>
        <v>12</v>
      </c>
      <c r="E70" s="49">
        <f>L6</f>
        <v>11.9</v>
      </c>
      <c r="F70" s="49">
        <f>F71-F293</f>
        <v>11.816</v>
      </c>
      <c r="G70" s="49"/>
      <c r="H70" s="49"/>
      <c r="I70" s="49">
        <f>NORMDIST(F70,D157,D158,FALSE)*(F294*10/M293)</f>
        <v>0</v>
      </c>
      <c r="J70" s="49"/>
      <c r="K70" s="49">
        <f>SUM(L62:L71)</f>
        <v>0</v>
      </c>
      <c r="L70" s="49">
        <v>0.0</v>
      </c>
      <c r="M70" s="49">
        <f>NORMDIST(F70,D157,D158,FALSE)</f>
        <v>0</v>
      </c>
      <c r="N70" s="77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2.75" customHeight="1">
      <c r="A71" s="49">
        <f t="shared" si="2"/>
        <v>0</v>
      </c>
      <c r="B71" s="76">
        <f>IF(ISBLANK(M10),NA(),M10)</f>
        <v>12.02</v>
      </c>
      <c r="C71" s="49">
        <f>IF(P6="C",D157+(D157-L6),H6)</f>
        <v>12.1</v>
      </c>
      <c r="D71" s="49">
        <f>IF(P6="A",(H6+L6)/2,D157)</f>
        <v>12</v>
      </c>
      <c r="E71" s="49">
        <f>L6</f>
        <v>11.9</v>
      </c>
      <c r="F71" s="49">
        <f>F72-F293</f>
        <v>11.818</v>
      </c>
      <c r="G71" s="49"/>
      <c r="H71" s="49"/>
      <c r="I71" s="49">
        <f>NORMDIST(F71,D157,D158,FALSE)*(F294*10/M293)</f>
        <v>0</v>
      </c>
      <c r="J71" s="49"/>
      <c r="K71" s="49">
        <f>SUM(L62:L71)</f>
        <v>0</v>
      </c>
      <c r="L71" s="49">
        <v>0.0</v>
      </c>
      <c r="M71" s="49">
        <f>NORMDIST(F71,D157,D158,FALSE)</f>
        <v>0</v>
      </c>
      <c r="N71" s="77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2.75" customHeight="1">
      <c r="A72" s="49">
        <f t="shared" si="2"/>
        <v>0</v>
      </c>
      <c r="B72" s="76">
        <f>IF(ISBLANK(D11),NA(),D11)</f>
        <v>12.06</v>
      </c>
      <c r="C72" s="49">
        <f>IF(P6="C",D157+(D157-L6),H6)</f>
        <v>12.1</v>
      </c>
      <c r="D72" s="49">
        <f>IF(P6="A",(H6+L6)/2,D157)</f>
        <v>12</v>
      </c>
      <c r="E72" s="49">
        <f>L6</f>
        <v>11.9</v>
      </c>
      <c r="F72" s="49">
        <f>F73-F293</f>
        <v>11.82</v>
      </c>
      <c r="G72" s="49">
        <f>IF(J72&gt;K72,J72,K72)</f>
        <v>0</v>
      </c>
      <c r="H72" s="49"/>
      <c r="I72" s="49">
        <f>NORMDIST(F72,D157,D158,FALSE)*(F294*10/M293)</f>
        <v>0</v>
      </c>
      <c r="J72" s="49">
        <f>SUM(L72:L81)</f>
        <v>0</v>
      </c>
      <c r="K72" s="49">
        <f>SUM(L62:L71)</f>
        <v>0</v>
      </c>
      <c r="L72" s="49">
        <v>0.0</v>
      </c>
      <c r="M72" s="49">
        <f>NORMDIST(F72,D157,D158,FALSE)</f>
        <v>0</v>
      </c>
      <c r="N72" s="77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2.75" customHeight="1">
      <c r="A73" s="49">
        <f t="shared" si="2"/>
        <v>0</v>
      </c>
      <c r="B73" s="76">
        <f>IF(ISBLANK(E11),NA(),E11)</f>
        <v>12.04</v>
      </c>
      <c r="C73" s="49">
        <f>IF(P6="C",D157+(D157-L6),H6)</f>
        <v>12.1</v>
      </c>
      <c r="D73" s="49">
        <f>IF(P6="A",(H6+L6)/2,D157)</f>
        <v>12</v>
      </c>
      <c r="E73" s="49">
        <f>L6</f>
        <v>11.9</v>
      </c>
      <c r="F73" s="49">
        <f>F74-F293</f>
        <v>11.822</v>
      </c>
      <c r="G73" s="49"/>
      <c r="H73" s="49"/>
      <c r="I73" s="49">
        <f>NORMDIST(F73,D157,D158,FALSE)*(F294*10/M293)</f>
        <v>0</v>
      </c>
      <c r="J73" s="49">
        <f>SUM(L72:L81)</f>
        <v>0</v>
      </c>
      <c r="K73" s="49"/>
      <c r="L73" s="49">
        <v>0.0</v>
      </c>
      <c r="M73" s="49">
        <f>NORMDIST(F73,D157,D158,FALSE)</f>
        <v>0</v>
      </c>
      <c r="N73" s="77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2.75" customHeight="1">
      <c r="A74" s="49">
        <f t="shared" si="2"/>
        <v>0</v>
      </c>
      <c r="B74" s="76">
        <f>IF(ISBLANK(F11),NA(),F11)</f>
        <v>12.04</v>
      </c>
      <c r="C74" s="49">
        <f>IF(P6="C",D157+(D157-L6),H6)</f>
        <v>12.1</v>
      </c>
      <c r="D74" s="49">
        <f>IF(P6="A",(H6+L6)/2,D157)</f>
        <v>12</v>
      </c>
      <c r="E74" s="49">
        <f>L6</f>
        <v>11.9</v>
      </c>
      <c r="F74" s="49">
        <f>F75-F293</f>
        <v>11.824</v>
      </c>
      <c r="G74" s="49"/>
      <c r="H74" s="49"/>
      <c r="I74" s="49">
        <f>NORMDIST(F74,D157,D158,FALSE)*(F294*10/M293)</f>
        <v>0</v>
      </c>
      <c r="J74" s="49">
        <f>SUM(L72:L81)</f>
        <v>0</v>
      </c>
      <c r="K74" s="49"/>
      <c r="L74" s="49">
        <v>0.0</v>
      </c>
      <c r="M74" s="49">
        <f>NORMDIST(F74,D157,D158,FALSE)</f>
        <v>0</v>
      </c>
      <c r="N74" s="77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2.75" customHeight="1">
      <c r="A75" s="49">
        <f t="shared" si="2"/>
        <v>0</v>
      </c>
      <c r="B75" s="76">
        <f>IF(ISBLANK(G11),NA(),G11)</f>
        <v>12.02</v>
      </c>
      <c r="C75" s="49">
        <f>IF(P6="C",D157+(D157-L6),H6)</f>
        <v>12.1</v>
      </c>
      <c r="D75" s="49">
        <f>IF(P6="A",(H6+L6)/2,D157)</f>
        <v>12</v>
      </c>
      <c r="E75" s="49">
        <f>L6</f>
        <v>11.9</v>
      </c>
      <c r="F75" s="49">
        <f>F76-F293</f>
        <v>11.826</v>
      </c>
      <c r="G75" s="49"/>
      <c r="H75" s="49"/>
      <c r="I75" s="49">
        <f>NORMDIST(F75,D157,D158,FALSE)*(F294*10/M293)</f>
        <v>0</v>
      </c>
      <c r="J75" s="49">
        <f>SUM(L72:L81)</f>
        <v>0</v>
      </c>
      <c r="K75" s="49"/>
      <c r="L75" s="49">
        <v>0.0</v>
      </c>
      <c r="M75" s="49">
        <f>NORMDIST(F75,D157,D158,FALSE)</f>
        <v>0</v>
      </c>
      <c r="N75" s="77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2.75" customHeight="1">
      <c r="A76" s="49">
        <f t="shared" si="2"/>
        <v>0</v>
      </c>
      <c r="B76" s="76">
        <f>IF(ISBLANK(H11),NA(),H11)</f>
        <v>12.02</v>
      </c>
      <c r="C76" s="49">
        <f>IF(P6="C",D157+(D157-L6),H6)</f>
        <v>12.1</v>
      </c>
      <c r="D76" s="49">
        <f>IF(P6="A",(H6+L6)/2,D157)</f>
        <v>12</v>
      </c>
      <c r="E76" s="49">
        <f>L6</f>
        <v>11.9</v>
      </c>
      <c r="F76" s="49">
        <f>F77-F293</f>
        <v>11.828</v>
      </c>
      <c r="G76" s="49"/>
      <c r="H76" s="49"/>
      <c r="I76" s="49">
        <f>NORMDIST(F76,D157,D158,FALSE)*(F294*10/M293)</f>
        <v>0</v>
      </c>
      <c r="J76" s="49">
        <f>SUM(L72:L81)</f>
        <v>0</v>
      </c>
      <c r="K76" s="49"/>
      <c r="L76" s="49">
        <v>0.0</v>
      </c>
      <c r="M76" s="49">
        <f>NORMDIST(F76,D157,D158,FALSE)</f>
        <v>0</v>
      </c>
      <c r="N76" s="77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2.75" customHeight="1">
      <c r="A77" s="49">
        <f t="shared" si="2"/>
        <v>0</v>
      </c>
      <c r="B77" s="76">
        <f>IF(ISBLANK(I11),NA(),I11)</f>
        <v>12.01</v>
      </c>
      <c r="C77" s="49">
        <f>IF(P6="C",D157+(D157-L6),H6)</f>
        <v>12.1</v>
      </c>
      <c r="D77" s="49">
        <f>IF(P6="A",(H6+L6)/2,D157)</f>
        <v>12</v>
      </c>
      <c r="E77" s="49">
        <f>L6</f>
        <v>11.9</v>
      </c>
      <c r="F77" s="49">
        <f>F78-F293</f>
        <v>11.83</v>
      </c>
      <c r="G77" s="49"/>
      <c r="H77" s="49"/>
      <c r="I77" s="49">
        <f>NORMDIST(F77,D157,D158,FALSE)*(F294*10/M293)</f>
        <v>0</v>
      </c>
      <c r="J77" s="49">
        <f>SUM(L72:L81)</f>
        <v>0</v>
      </c>
      <c r="K77" s="49"/>
      <c r="L77" s="49">
        <v>0.0</v>
      </c>
      <c r="M77" s="49">
        <f>NORMDIST(F77,D157,D158,FALSE)</f>
        <v>0</v>
      </c>
      <c r="N77" s="77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2.75" customHeight="1">
      <c r="A78" s="49">
        <f t="shared" si="2"/>
        <v>0</v>
      </c>
      <c r="B78" s="76">
        <f>IF(ISBLANK(J11),NA(),J11)</f>
        <v>12.02</v>
      </c>
      <c r="C78" s="49">
        <f>IF(P6="C",D157+(D157-L6),H6)</f>
        <v>12.1</v>
      </c>
      <c r="D78" s="49">
        <f>IF(P6="A",(H6+L6)/2,D157)</f>
        <v>12</v>
      </c>
      <c r="E78" s="49">
        <f>L6</f>
        <v>11.9</v>
      </c>
      <c r="F78" s="49">
        <f>F79-F293</f>
        <v>11.832</v>
      </c>
      <c r="G78" s="49"/>
      <c r="H78" s="49"/>
      <c r="I78" s="49">
        <f>NORMDIST(F78,D157,D158,FALSE)*(F294*10/M293)</f>
        <v>0</v>
      </c>
      <c r="J78" s="49">
        <f>SUM(L72:L81)</f>
        <v>0</v>
      </c>
      <c r="K78" s="49"/>
      <c r="L78" s="49">
        <v>0.0</v>
      </c>
      <c r="M78" s="49">
        <f>NORMDIST(F78,D157,D158,FALSE)</f>
        <v>0</v>
      </c>
      <c r="N78" s="77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2.75" customHeight="1">
      <c r="A79" s="49">
        <f t="shared" si="2"/>
        <v>0</v>
      </c>
      <c r="B79" s="76">
        <f>IF(ISBLANK(K11),NA(),K11)</f>
        <v>12.04</v>
      </c>
      <c r="C79" s="49">
        <f>IF(P6="C",D157+(D157-L6),H6)</f>
        <v>12.1</v>
      </c>
      <c r="D79" s="49">
        <f>IF(P6="A",(H6+L6)/2,D157)</f>
        <v>12</v>
      </c>
      <c r="E79" s="49">
        <f>L6</f>
        <v>11.9</v>
      </c>
      <c r="F79" s="49">
        <f>F80-F293</f>
        <v>11.834</v>
      </c>
      <c r="G79" s="49"/>
      <c r="H79" s="49"/>
      <c r="I79" s="49">
        <f>NORMDIST(F79,D157,D158,FALSE)*(F294*10/M293)</f>
        <v>0</v>
      </c>
      <c r="J79" s="49">
        <f>SUM(L72:L81)</f>
        <v>0</v>
      </c>
      <c r="K79" s="49"/>
      <c r="L79" s="49">
        <v>0.0</v>
      </c>
      <c r="M79" s="49">
        <f>NORMDIST(F79,D157,D158,FALSE)</f>
        <v>0</v>
      </c>
      <c r="N79" s="77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2.75" customHeight="1">
      <c r="A80" s="49">
        <f t="shared" si="2"/>
        <v>0</v>
      </c>
      <c r="B80" s="76">
        <f>IF(ISBLANK(L11),NA(),L11)</f>
        <v>11.99</v>
      </c>
      <c r="C80" s="49">
        <f>IF(P6="C",D157+(D157-L6),H6)</f>
        <v>12.1</v>
      </c>
      <c r="D80" s="49">
        <f>IF(P6="A",(H6+L6)/2,D157)</f>
        <v>12</v>
      </c>
      <c r="E80" s="49">
        <f>L6</f>
        <v>11.9</v>
      </c>
      <c r="F80" s="49">
        <f>F81-F293</f>
        <v>11.836</v>
      </c>
      <c r="G80" s="49"/>
      <c r="H80" s="49"/>
      <c r="I80" s="49">
        <f>NORMDIST(F80,D157,D158,FALSE)*(F294*10/M293)</f>
        <v>0</v>
      </c>
      <c r="J80" s="49">
        <f>SUM(L72:L81)</f>
        <v>0</v>
      </c>
      <c r="K80" s="49"/>
      <c r="L80" s="49">
        <v>0.0</v>
      </c>
      <c r="M80" s="49">
        <f>NORMDIST(F80,D157,D158,FALSE)</f>
        <v>0</v>
      </c>
      <c r="N80" s="77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2.75" customHeight="1">
      <c r="A81" s="49">
        <f t="shared" si="2"/>
        <v>0</v>
      </c>
      <c r="B81" s="76">
        <f>IF(ISBLANK(M11),NA(),M11)</f>
        <v>12.01</v>
      </c>
      <c r="C81" s="49">
        <f>IF(P6="C",D157+(D157-L6),H6)</f>
        <v>12.1</v>
      </c>
      <c r="D81" s="49">
        <f>IF(P6="A",(H6+L6)/2,D157)</f>
        <v>12</v>
      </c>
      <c r="E81" s="49">
        <f>L6</f>
        <v>11.9</v>
      </c>
      <c r="F81" s="49">
        <f>F82-F293</f>
        <v>11.838</v>
      </c>
      <c r="G81" s="49"/>
      <c r="H81" s="49"/>
      <c r="I81" s="49">
        <f>NORMDIST(F81,D157,D158,FALSE)*(F294*10/M293)</f>
        <v>0</v>
      </c>
      <c r="J81" s="49">
        <f>SUM(L72:L81)</f>
        <v>0</v>
      </c>
      <c r="K81" s="49"/>
      <c r="L81" s="49">
        <v>0.0</v>
      </c>
      <c r="M81" s="49">
        <f>NORMDIST(F81,D157,D158,FALSE)</f>
        <v>0</v>
      </c>
      <c r="N81" s="77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2.75" customHeight="1">
      <c r="A82" s="49">
        <f t="shared" si="2"/>
        <v>0</v>
      </c>
      <c r="B82" s="76">
        <f>IF(ISBLANK(D12),NA(),D12)</f>
        <v>12.05</v>
      </c>
      <c r="C82" s="49">
        <f>IF(P6="C",D157+(D157-L6),H6)</f>
        <v>12.1</v>
      </c>
      <c r="D82" s="49">
        <f>IF(P6="A",(H6+L6)/2,D157)</f>
        <v>12</v>
      </c>
      <c r="E82" s="49">
        <f>L6</f>
        <v>11.9</v>
      </c>
      <c r="F82" s="49">
        <f>F83-F293</f>
        <v>11.84</v>
      </c>
      <c r="G82" s="49">
        <f>IF(J82&gt;K82,J82,K82)</f>
        <v>0</v>
      </c>
      <c r="H82" s="49"/>
      <c r="I82" s="49">
        <f>NORMDIST(F82,D157,D158,FALSE)*(F294*10/M293)</f>
        <v>0</v>
      </c>
      <c r="J82" s="49">
        <f>SUM(L72:L81)</f>
        <v>0</v>
      </c>
      <c r="K82" s="49">
        <f>SUM(L82:L91)</f>
        <v>0</v>
      </c>
      <c r="L82" s="49">
        <v>0.0</v>
      </c>
      <c r="M82" s="49">
        <f>NORMDIST(F82,D157,D158,FALSE)</f>
        <v>0</v>
      </c>
      <c r="N82" s="77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2.75" customHeight="1">
      <c r="A83" s="49">
        <f t="shared" si="2"/>
        <v>0</v>
      </c>
      <c r="B83" s="76">
        <f>IF(ISBLANK(E12),NA(),E12)</f>
        <v>12.04</v>
      </c>
      <c r="C83" s="49">
        <f>IF(P6="C",D157+(D157-L6),H6)</f>
        <v>12.1</v>
      </c>
      <c r="D83" s="49">
        <f>IF(P6="A",(H6+L6)/2,D157)</f>
        <v>12</v>
      </c>
      <c r="E83" s="49">
        <f>L6</f>
        <v>11.9</v>
      </c>
      <c r="F83" s="49">
        <f>F84-F293</f>
        <v>11.842</v>
      </c>
      <c r="G83" s="49"/>
      <c r="H83" s="49"/>
      <c r="I83" s="49">
        <f>NORMDIST(F83,D157,D158,FALSE)*(F294*10/M293)</f>
        <v>0</v>
      </c>
      <c r="J83" s="49"/>
      <c r="K83" s="49">
        <f>SUM(L82:L91)</f>
        <v>0</v>
      </c>
      <c r="L83" s="49">
        <v>0.0</v>
      </c>
      <c r="M83" s="49">
        <f>NORMDIST(F83,D157,D158,FALSE)</f>
        <v>0</v>
      </c>
      <c r="N83" s="77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2.75" customHeight="1">
      <c r="A84" s="49">
        <f t="shared" si="2"/>
        <v>0</v>
      </c>
      <c r="B84" s="76">
        <f>IF(ISBLANK(F12),NA(),F12)</f>
        <v>12.02</v>
      </c>
      <c r="C84" s="49">
        <f>IF(P6="C",D157+(D157-L6),H6)</f>
        <v>12.1</v>
      </c>
      <c r="D84" s="49">
        <f>IF(P6="A",(H6+L6)/2,D157)</f>
        <v>12</v>
      </c>
      <c r="E84" s="49">
        <f>L6</f>
        <v>11.9</v>
      </c>
      <c r="F84" s="49">
        <f>F85-F293</f>
        <v>11.844</v>
      </c>
      <c r="G84" s="49"/>
      <c r="H84" s="49"/>
      <c r="I84" s="49">
        <f>NORMDIST(F84,D157,D158,FALSE)*(F294*10/M293)</f>
        <v>0</v>
      </c>
      <c r="J84" s="49"/>
      <c r="K84" s="49">
        <f>SUM(L82:L91)</f>
        <v>0</v>
      </c>
      <c r="L84" s="49">
        <v>0.0</v>
      </c>
      <c r="M84" s="49">
        <f>NORMDIST(F84,D157,D158,FALSE)</f>
        <v>0</v>
      </c>
      <c r="N84" s="77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2.75" customHeight="1">
      <c r="A85" s="49">
        <f t="shared" si="2"/>
        <v>0</v>
      </c>
      <c r="B85" s="76">
        <f>IF(ISBLANK(G12),NA(),G12)</f>
        <v>12.01</v>
      </c>
      <c r="C85" s="49">
        <f>IF(P6="C",D157+(D157-L6),H6)</f>
        <v>12.1</v>
      </c>
      <c r="D85" s="49">
        <f>IF(P6="A",(H6+L6)/2,D157)</f>
        <v>12</v>
      </c>
      <c r="E85" s="49">
        <f>L6</f>
        <v>11.9</v>
      </c>
      <c r="F85" s="49">
        <f>F86-F293</f>
        <v>11.846</v>
      </c>
      <c r="G85" s="49"/>
      <c r="H85" s="49"/>
      <c r="I85" s="49">
        <f>NORMDIST(F85,D157,D158,FALSE)*(F294*10/M293)</f>
        <v>0</v>
      </c>
      <c r="J85" s="49"/>
      <c r="K85" s="49">
        <f>SUM(L82:L91)</f>
        <v>0</v>
      </c>
      <c r="L85" s="49">
        <v>0.0</v>
      </c>
      <c r="M85" s="49">
        <f>NORMDIST(F85,D157,D158,FALSE)</f>
        <v>0</v>
      </c>
      <c r="N85" s="77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2.75" customHeight="1">
      <c r="A86" s="49">
        <f t="shared" si="2"/>
        <v>0</v>
      </c>
      <c r="B86" s="76">
        <f>IF(ISBLANK(H12),NA(),H12)</f>
        <v>12.02</v>
      </c>
      <c r="C86" s="49">
        <f>IF(P6="C",D157+(D157-L6),H6)</f>
        <v>12.1</v>
      </c>
      <c r="D86" s="49">
        <f>IF(P6="A",(H6+L6)/2,D157)</f>
        <v>12</v>
      </c>
      <c r="E86" s="49">
        <f>L6</f>
        <v>11.9</v>
      </c>
      <c r="F86" s="49">
        <f>F87-F293</f>
        <v>11.848</v>
      </c>
      <c r="G86" s="49"/>
      <c r="H86" s="49"/>
      <c r="I86" s="49">
        <f>NORMDIST(F86,D157,D158,FALSE)*(F294*10/M293)</f>
        <v>0</v>
      </c>
      <c r="J86" s="49"/>
      <c r="K86" s="49">
        <f>SUM(L82:L91)</f>
        <v>0</v>
      </c>
      <c r="L86" s="49">
        <v>0.0</v>
      </c>
      <c r="M86" s="49">
        <f>NORMDIST(F86,D157,D158,FALSE)</f>
        <v>0</v>
      </c>
      <c r="N86" s="77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2.75" customHeight="1">
      <c r="A87" s="49">
        <f t="shared" si="2"/>
        <v>0</v>
      </c>
      <c r="B87" s="76">
        <f>IF(ISBLANK(I12),NA(),I12)</f>
        <v>12.03</v>
      </c>
      <c r="C87" s="49">
        <f>IF(P6="C",D157+(D157-L6),H6)</f>
        <v>12.1</v>
      </c>
      <c r="D87" s="49">
        <f>IF(P6="A",(H6+L6)/2,D157)</f>
        <v>12</v>
      </c>
      <c r="E87" s="49">
        <f>L6</f>
        <v>11.9</v>
      </c>
      <c r="F87" s="49">
        <f>F88-F293</f>
        <v>11.85</v>
      </c>
      <c r="G87" s="49"/>
      <c r="H87" s="49"/>
      <c r="I87" s="49">
        <f>NORMDIST(F87,D157,D158,FALSE)*(F294*10/M293)</f>
        <v>0</v>
      </c>
      <c r="J87" s="49"/>
      <c r="K87" s="49">
        <f>SUM(L82:L91)</f>
        <v>0</v>
      </c>
      <c r="L87" s="49">
        <v>0.0</v>
      </c>
      <c r="M87" s="49">
        <f>NORMDIST(F87,D157,D158,FALSE)</f>
        <v>0</v>
      </c>
      <c r="N87" s="77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2.75" customHeight="1">
      <c r="A88" s="49">
        <f t="shared" si="2"/>
        <v>0</v>
      </c>
      <c r="B88" s="76">
        <f>IF(ISBLANK(J12),NA(),J12)</f>
        <v>12.05</v>
      </c>
      <c r="C88" s="49">
        <f>IF(P6="C",D157+(D157-L6),H6)</f>
        <v>12.1</v>
      </c>
      <c r="D88" s="49">
        <f>IF(P6="A",(H6+L6)/2,D157)</f>
        <v>12</v>
      </c>
      <c r="E88" s="49">
        <f>L6</f>
        <v>11.9</v>
      </c>
      <c r="F88" s="49">
        <f>F89-F293</f>
        <v>11.852</v>
      </c>
      <c r="G88" s="49"/>
      <c r="H88" s="49"/>
      <c r="I88" s="49">
        <f>NORMDIST(F88,D157,D158,FALSE)*(F294*10/M293)</f>
        <v>0</v>
      </c>
      <c r="J88" s="49"/>
      <c r="K88" s="49">
        <f>SUM(L82:L91)</f>
        <v>0</v>
      </c>
      <c r="L88" s="49">
        <v>0.0</v>
      </c>
      <c r="M88" s="49">
        <f>NORMDIST(F88,D157,D158,FALSE)</f>
        <v>0</v>
      </c>
      <c r="N88" s="77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2.75" customHeight="1">
      <c r="A89" s="49">
        <f t="shared" si="2"/>
        <v>0</v>
      </c>
      <c r="B89" s="76">
        <f>IF(ISBLANK(K12),NA(),K12)</f>
        <v>12.06</v>
      </c>
      <c r="C89" s="49">
        <f>IF(P6="C",D157+(D157-L6),H6)</f>
        <v>12.1</v>
      </c>
      <c r="D89" s="49">
        <f>IF(P6="A",(H6+L6)/2,D157)</f>
        <v>12</v>
      </c>
      <c r="E89" s="49">
        <f>L6</f>
        <v>11.9</v>
      </c>
      <c r="F89" s="49">
        <f>F90-F293</f>
        <v>11.854</v>
      </c>
      <c r="G89" s="49"/>
      <c r="H89" s="49"/>
      <c r="I89" s="49">
        <f>NORMDIST(F89,D157,D158,FALSE)*(F294*10/M293)</f>
        <v>0</v>
      </c>
      <c r="J89" s="49"/>
      <c r="K89" s="49">
        <f>SUM(L82:L91)</f>
        <v>0</v>
      </c>
      <c r="L89" s="49">
        <v>0.0</v>
      </c>
      <c r="M89" s="49">
        <f>NORMDIST(F89,D157,D158,FALSE)</f>
        <v>0</v>
      </c>
      <c r="N89" s="77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2.75" customHeight="1">
      <c r="A90" s="49">
        <f t="shared" si="2"/>
        <v>0</v>
      </c>
      <c r="B90" s="76">
        <f>IF(ISBLANK(L12),NA(),L12)</f>
        <v>12.02</v>
      </c>
      <c r="C90" s="49">
        <f>IF(P6="C",D157+(D157-L6),H6)</f>
        <v>12.1</v>
      </c>
      <c r="D90" s="49">
        <f>IF(P6="A",(H6+L6)/2,D157)</f>
        <v>12</v>
      </c>
      <c r="E90" s="49">
        <f>L6</f>
        <v>11.9</v>
      </c>
      <c r="F90" s="49">
        <f>F91-F293</f>
        <v>11.856</v>
      </c>
      <c r="G90" s="49"/>
      <c r="H90" s="49"/>
      <c r="I90" s="49">
        <f>NORMDIST(F90,D157,D158,FALSE)*(F294*10/M293)</f>
        <v>0</v>
      </c>
      <c r="J90" s="49"/>
      <c r="K90" s="49">
        <f>SUM(L82:L91)</f>
        <v>0</v>
      </c>
      <c r="L90" s="49">
        <v>0.0</v>
      </c>
      <c r="M90" s="49">
        <f>NORMDIST(F90,D157,D158,FALSE)</f>
        <v>0</v>
      </c>
      <c r="N90" s="77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2.75" customHeight="1">
      <c r="A91" s="49">
        <f t="shared" si="2"/>
        <v>0</v>
      </c>
      <c r="B91" s="76">
        <f>IF(ISBLANK(M12),NA(),M12)</f>
        <v>12.06</v>
      </c>
      <c r="C91" s="49">
        <f>IF(P6="C",D157+(D157-L6),H6)</f>
        <v>12.1</v>
      </c>
      <c r="D91" s="49">
        <f>IF(P6="A",(H6+L6)/2,D157)</f>
        <v>12</v>
      </c>
      <c r="E91" s="49">
        <f>L6</f>
        <v>11.9</v>
      </c>
      <c r="F91" s="49">
        <f>F92-F293</f>
        <v>11.858</v>
      </c>
      <c r="G91" s="49"/>
      <c r="H91" s="49"/>
      <c r="I91" s="49">
        <f>NORMDIST(F91,D157,D158,FALSE)*(F294*10/M293)</f>
        <v>0</v>
      </c>
      <c r="J91" s="49"/>
      <c r="K91" s="49">
        <f>SUM(L82:L91)</f>
        <v>0</v>
      </c>
      <c r="L91" s="49">
        <v>0.0</v>
      </c>
      <c r="M91" s="49">
        <f>NORMDIST(F91,D157,D158,FALSE)</f>
        <v>0</v>
      </c>
      <c r="N91" s="77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2.75" customHeight="1">
      <c r="A92" s="49">
        <f t="shared" si="2"/>
        <v>0</v>
      </c>
      <c r="B92" s="76">
        <f>IF(ISBLANK(D13),NA(),D13)</f>
        <v>12.06</v>
      </c>
      <c r="C92" s="49">
        <f>IF(P6="C",D157+(D157-L6),H6)</f>
        <v>12.1</v>
      </c>
      <c r="D92" s="49">
        <f>IF(P6="A",(H6+L6)/2,D157)</f>
        <v>12</v>
      </c>
      <c r="E92" s="49">
        <f>L6</f>
        <v>11.9</v>
      </c>
      <c r="F92" s="49">
        <f>F93-F293</f>
        <v>11.86</v>
      </c>
      <c r="G92" s="49">
        <f>IF(J92&gt;K92,J92,K92)</f>
        <v>0</v>
      </c>
      <c r="H92" s="49"/>
      <c r="I92" s="49">
        <f>NORMDIST(F92,D157,D158,FALSE)*(F294*10/M293)</f>
        <v>0.0000000001519660306</v>
      </c>
      <c r="J92" s="49">
        <f>SUM(L92:L101)</f>
        <v>0</v>
      </c>
      <c r="K92" s="49">
        <f>SUM(L82:L91)</f>
        <v>0</v>
      </c>
      <c r="L92" s="49">
        <v>0.0</v>
      </c>
      <c r="M92" s="49">
        <f>NORMDIST(F92,D157,D158,FALSE)</f>
        <v>0.0000000001519660306</v>
      </c>
      <c r="N92" s="77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2.75" customHeight="1">
      <c r="A93" s="49">
        <f t="shared" si="2"/>
        <v>0</v>
      </c>
      <c r="B93" s="76">
        <f>IF(ISBLANK(E13),NA(),E13)</f>
        <v>12.04</v>
      </c>
      <c r="C93" s="49">
        <f>IF(P6="C",D157+(D157-L6),H6)</f>
        <v>12.1</v>
      </c>
      <c r="D93" s="49">
        <f>IF(P6="A",(H6+L6)/2,D157)</f>
        <v>12</v>
      </c>
      <c r="E93" s="49">
        <f>L6</f>
        <v>11.9</v>
      </c>
      <c r="F93" s="49">
        <f>F94-F293</f>
        <v>11.862</v>
      </c>
      <c r="G93" s="49"/>
      <c r="H93" s="49"/>
      <c r="I93" s="49">
        <f>NORMDIST(F93,D157,D158,FALSE)*(F294*10/M293)</f>
        <v>0.0000000002732072639</v>
      </c>
      <c r="J93" s="49">
        <f>SUM(L92:L101)</f>
        <v>0</v>
      </c>
      <c r="K93" s="49"/>
      <c r="L93" s="49">
        <v>0.0</v>
      </c>
      <c r="M93" s="49">
        <f>NORMDIST(F93,D157,D158,FALSE)</f>
        <v>0.0000000002732072639</v>
      </c>
      <c r="N93" s="77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2.75" customHeight="1">
      <c r="A94" s="49">
        <f t="shared" si="2"/>
        <v>0</v>
      </c>
      <c r="B94" s="76">
        <f>IF(ISBLANK(F13),NA(),F13)</f>
        <v>12.04</v>
      </c>
      <c r="C94" s="49">
        <f>IF(P6="C",D157+(D157-L6),H6)</f>
        <v>12.1</v>
      </c>
      <c r="D94" s="49">
        <f>IF(P6="A",(H6+L6)/2,D157)</f>
        <v>12</v>
      </c>
      <c r="E94" s="49">
        <f>L6</f>
        <v>11.9</v>
      </c>
      <c r="F94" s="49">
        <f>F95-F293</f>
        <v>11.864</v>
      </c>
      <c r="G94" s="49"/>
      <c r="H94" s="49"/>
      <c r="I94" s="49">
        <f>NORMDIST(F94,D157,D158,FALSE)*(F294*10/M293)</f>
        <v>0.0000000004878242133</v>
      </c>
      <c r="J94" s="49">
        <f>SUM(L92:L101)</f>
        <v>0</v>
      </c>
      <c r="K94" s="49"/>
      <c r="L94" s="49">
        <v>0.0</v>
      </c>
      <c r="M94" s="49">
        <f>NORMDIST(F94,D157,D158,FALSE)</f>
        <v>0.0000000004878242133</v>
      </c>
      <c r="N94" s="77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2.75" customHeight="1">
      <c r="A95" s="49">
        <f t="shared" si="2"/>
        <v>0</v>
      </c>
      <c r="B95" s="76">
        <f>IF(ISBLANK(G13),NA(),G13)</f>
        <v>12.04</v>
      </c>
      <c r="C95" s="49">
        <f>IF(P6="C",D157+(D157-L6),H6)</f>
        <v>12.1</v>
      </c>
      <c r="D95" s="49">
        <f>IF(P6="A",(H6+L6)/2,D157)</f>
        <v>12</v>
      </c>
      <c r="E95" s="49">
        <f>L6</f>
        <v>11.9</v>
      </c>
      <c r="F95" s="49">
        <f>F96-F293</f>
        <v>11.866</v>
      </c>
      <c r="G95" s="49"/>
      <c r="H95" s="49"/>
      <c r="I95" s="49">
        <f>NORMDIST(F95,D157,D158,FALSE)*(F294*10/M293)</f>
        <v>0.0000000008650871326</v>
      </c>
      <c r="J95" s="49">
        <f>SUM(L92:L101)</f>
        <v>0</v>
      </c>
      <c r="K95" s="49"/>
      <c r="L95" s="49">
        <v>0.0</v>
      </c>
      <c r="M95" s="49">
        <f>NORMDIST(F95,D157,D158,FALSE)</f>
        <v>0.0000000008650871326</v>
      </c>
      <c r="N95" s="77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2.75" customHeight="1">
      <c r="A96" s="49">
        <f t="shared" si="2"/>
        <v>0</v>
      </c>
      <c r="B96" s="76">
        <f>IF(ISBLANK(H13),NA(),H13)</f>
        <v>12.06</v>
      </c>
      <c r="C96" s="49">
        <f>IF(P6="C",D157+(D157-L6),H6)</f>
        <v>12.1</v>
      </c>
      <c r="D96" s="49">
        <f>IF(P6="A",(H6+L6)/2,D157)</f>
        <v>12</v>
      </c>
      <c r="E96" s="49">
        <f>L6</f>
        <v>11.9</v>
      </c>
      <c r="F96" s="49">
        <f>F97-F293</f>
        <v>11.868</v>
      </c>
      <c r="G96" s="49"/>
      <c r="H96" s="49"/>
      <c r="I96" s="49">
        <f>NORMDIST(F96,D157,D158,FALSE)*(F294*10/M293)</f>
        <v>0.000000001523637806</v>
      </c>
      <c r="J96" s="49">
        <f>SUM(L92:L101)</f>
        <v>0</v>
      </c>
      <c r="K96" s="49"/>
      <c r="L96" s="49">
        <v>0.0</v>
      </c>
      <c r="M96" s="49">
        <f>NORMDIST(F96,D157,D158,FALSE)</f>
        <v>0.000000001523637806</v>
      </c>
      <c r="N96" s="77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2.75" customHeight="1">
      <c r="A97" s="49">
        <f t="shared" si="2"/>
        <v>0</v>
      </c>
      <c r="B97" s="76">
        <f>IF(ISBLANK(I13),NA(),I13)</f>
        <v>12.05</v>
      </c>
      <c r="C97" s="49">
        <f>IF(P6="C",D157+(D157-L6),H6)</f>
        <v>12.1</v>
      </c>
      <c r="D97" s="49">
        <f>IF(P6="A",(H6+L6)/2,D157)</f>
        <v>12</v>
      </c>
      <c r="E97" s="49">
        <f>L6</f>
        <v>11.9</v>
      </c>
      <c r="F97" s="49">
        <f>F98-F293</f>
        <v>11.87</v>
      </c>
      <c r="G97" s="49"/>
      <c r="H97" s="49"/>
      <c r="I97" s="49">
        <f>NORMDIST(F97,D157,D158,FALSE)*(F294*10/M293)</f>
        <v>0.000000002665195166</v>
      </c>
      <c r="J97" s="49">
        <f>SUM(L92:L101)</f>
        <v>0</v>
      </c>
      <c r="K97" s="49"/>
      <c r="L97" s="49">
        <v>0.0</v>
      </c>
      <c r="M97" s="49">
        <f>NORMDIST(F97,D157,D158,FALSE)</f>
        <v>0.000000002665195166</v>
      </c>
      <c r="N97" s="77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2.75" customHeight="1">
      <c r="A98" s="49">
        <f t="shared" si="2"/>
        <v>0</v>
      </c>
      <c r="B98" s="76">
        <f>IF(ISBLANK(J13),NA(),J13)</f>
        <v>12.04</v>
      </c>
      <c r="C98" s="49">
        <f>IF(P6="C",D157+(D157-L6),H6)</f>
        <v>12.1</v>
      </c>
      <c r="D98" s="49">
        <f>IF(P6="A",(H6+L6)/2,D157)</f>
        <v>12</v>
      </c>
      <c r="E98" s="49">
        <f>L6</f>
        <v>11.9</v>
      </c>
      <c r="F98" s="49">
        <f>F99-F293</f>
        <v>11.872</v>
      </c>
      <c r="G98" s="49"/>
      <c r="H98" s="49"/>
      <c r="I98" s="49">
        <f>NORMDIST(F98,D157,D158,FALSE)*(F294*10/M293)</f>
        <v>0.000000004630220592</v>
      </c>
      <c r="J98" s="49">
        <f>SUM(L92:L101)</f>
        <v>0</v>
      </c>
      <c r="K98" s="49"/>
      <c r="L98" s="49">
        <v>0.0</v>
      </c>
      <c r="M98" s="49">
        <f>NORMDIST(F98,D157,D158,FALSE)</f>
        <v>0.000000004630220592</v>
      </c>
      <c r="N98" s="77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2.75" customHeight="1">
      <c r="A99" s="49">
        <f t="shared" si="2"/>
        <v>0</v>
      </c>
      <c r="B99" s="76">
        <f>IF(ISBLANK(K13),NA(),K13)</f>
        <v>12.08</v>
      </c>
      <c r="C99" s="49">
        <f>IF(P6="C",D157+(D157-L6),H6)</f>
        <v>12.1</v>
      </c>
      <c r="D99" s="49">
        <f>IF(P6="A",(H6+L6)/2,D157)</f>
        <v>12</v>
      </c>
      <c r="E99" s="49">
        <f>L6</f>
        <v>11.9</v>
      </c>
      <c r="F99" s="49">
        <f>F100-F293</f>
        <v>11.874</v>
      </c>
      <c r="G99" s="49"/>
      <c r="H99" s="49"/>
      <c r="I99" s="49">
        <f>NORMDIST(F99,D157,D158,FALSE)*(F294*10/M293)</f>
        <v>0.000000007989134557</v>
      </c>
      <c r="J99" s="49">
        <f>SUM(L92:L101)</f>
        <v>0</v>
      </c>
      <c r="K99" s="49"/>
      <c r="L99" s="49">
        <v>0.0</v>
      </c>
      <c r="M99" s="49">
        <f>NORMDIST(F99,D157,D158,FALSE)</f>
        <v>0.000000007989134557</v>
      </c>
      <c r="N99" s="77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2.75" customHeight="1">
      <c r="A100" s="49">
        <f t="shared" si="2"/>
        <v>0</v>
      </c>
      <c r="B100" s="76">
        <f>IF(ISBLANK(L13),NA(),L13)</f>
        <v>12.04</v>
      </c>
      <c r="C100" s="49">
        <f>IF(P6="C",D157+(D157-L6),H6)</f>
        <v>12.1</v>
      </c>
      <c r="D100" s="49">
        <f>IF(P6="A",(H6+L6)/2,D157)</f>
        <v>12</v>
      </c>
      <c r="E100" s="49">
        <f>L6</f>
        <v>11.9</v>
      </c>
      <c r="F100" s="49">
        <f>F101-F293</f>
        <v>11.876</v>
      </c>
      <c r="G100" s="49"/>
      <c r="H100" s="49"/>
      <c r="I100" s="49">
        <f>NORMDIST(F100,D157,D158,FALSE)*(F294*10/M293)</f>
        <v>0.00000001369062195</v>
      </c>
      <c r="J100" s="49">
        <f>SUM(L92:L101)</f>
        <v>0</v>
      </c>
      <c r="K100" s="49"/>
      <c r="L100" s="49">
        <v>0.0</v>
      </c>
      <c r="M100" s="49">
        <f>NORMDIST(F100,D157,D158,FALSE)</f>
        <v>0.00000001369062195</v>
      </c>
      <c r="N100" s="77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2.75" customHeight="1">
      <c r="A101" s="49">
        <f t="shared" si="2"/>
        <v>0</v>
      </c>
      <c r="B101" s="76">
        <f>IF(ISBLANK(M13),NA(),M13)</f>
        <v>12.054</v>
      </c>
      <c r="C101" s="49">
        <f>IF(P6="C",D157+(D157-L6),H6)</f>
        <v>12.1</v>
      </c>
      <c r="D101" s="49">
        <f>IF(P6="A",(H6+L6)/2,D157)</f>
        <v>12</v>
      </c>
      <c r="E101" s="49">
        <f>L6</f>
        <v>11.9</v>
      </c>
      <c r="F101" s="49">
        <f>F102-F293</f>
        <v>11.878</v>
      </c>
      <c r="G101" s="49"/>
      <c r="H101" s="49"/>
      <c r="I101" s="49">
        <f>NORMDIST(F101,D157,D158,FALSE)*(F294*10/M293)</f>
        <v>0.00000002330086314</v>
      </c>
      <c r="J101" s="49">
        <f>SUM(L92:L101)</f>
        <v>0</v>
      </c>
      <c r="K101" s="49"/>
      <c r="L101" s="49">
        <v>0.0</v>
      </c>
      <c r="M101" s="49">
        <f>NORMDIST(F101,D157,D158,FALSE)</f>
        <v>0.00000002330086314</v>
      </c>
      <c r="N101" s="77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2.75" customHeight="1">
      <c r="A102" s="49">
        <f t="shared" si="2"/>
        <v>0</v>
      </c>
      <c r="B102" s="76" t="str">
        <f>IF(ISBLANK(D14),NA(),D14)</f>
        <v>#N/A</v>
      </c>
      <c r="C102" s="49">
        <f>IF(P6="C",D157+(D157-L6),H6)</f>
        <v>12.1</v>
      </c>
      <c r="D102" s="49">
        <f>IF(P6="A",(H6+L6)/2,D157)</f>
        <v>12</v>
      </c>
      <c r="E102" s="49">
        <f>L6</f>
        <v>11.9</v>
      </c>
      <c r="F102" s="49">
        <f>F103-F293</f>
        <v>11.88</v>
      </c>
      <c r="G102" s="49">
        <f>IF(J102&gt;K102,J102,K102)</f>
        <v>0</v>
      </c>
      <c r="H102" s="49"/>
      <c r="I102" s="49">
        <f>NORMDIST(F102,D157,D158,FALSE)*(F294*10/M293)</f>
        <v>0.00000003938639468</v>
      </c>
      <c r="J102" s="49">
        <f>SUM(L92:L101)</f>
        <v>0</v>
      </c>
      <c r="K102" s="49">
        <f>SUM(L102:L111)</f>
        <v>0</v>
      </c>
      <c r="L102" s="49">
        <v>0.0</v>
      </c>
      <c r="M102" s="49">
        <f>NORMDIST(F102,D157,D158,FALSE)</f>
        <v>0.00000003938639468</v>
      </c>
      <c r="N102" s="77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2.75" customHeight="1">
      <c r="A103" s="49">
        <f t="shared" si="2"/>
        <v>0</v>
      </c>
      <c r="B103" s="76" t="str">
        <f>IF(ISBLANK(E14),NA(),E14)</f>
        <v>#N/A</v>
      </c>
      <c r="C103" s="49">
        <f>IF(P6="C",D157+(D157-L6),H6)</f>
        <v>12.1</v>
      </c>
      <c r="D103" s="49">
        <f>IF(P6="A",(H6+L6)/2,D157)</f>
        <v>12</v>
      </c>
      <c r="E103" s="49">
        <f>L6</f>
        <v>11.9</v>
      </c>
      <c r="F103" s="49">
        <f>F104-F293</f>
        <v>11.882</v>
      </c>
      <c r="G103" s="49"/>
      <c r="H103" s="49"/>
      <c r="I103" s="49">
        <f>NORMDIST(F103,D157,D158,FALSE)*(F294*10/M293)</f>
        <v>0.00000006612197797</v>
      </c>
      <c r="J103" s="49"/>
      <c r="K103" s="49">
        <f>SUM(L102:L111)</f>
        <v>0</v>
      </c>
      <c r="L103" s="49">
        <v>0.0</v>
      </c>
      <c r="M103" s="49">
        <f>NORMDIST(F103,D157,D158,FALSE)</f>
        <v>0.00000006612197797</v>
      </c>
      <c r="N103" s="77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2.75" customHeight="1">
      <c r="A104" s="49">
        <f t="shared" si="2"/>
        <v>0</v>
      </c>
      <c r="B104" s="76" t="str">
        <f>IF(ISBLANK(F14),NA(),F14)</f>
        <v>#N/A</v>
      </c>
      <c r="C104" s="49">
        <f>IF(P6="C",D157+(D157-L6),H6)</f>
        <v>12.1</v>
      </c>
      <c r="D104" s="49">
        <f>IF(P6="A",(H6+L6)/2,D157)</f>
        <v>12</v>
      </c>
      <c r="E104" s="49">
        <f>L6</f>
        <v>11.9</v>
      </c>
      <c r="F104" s="49">
        <f>F105-F293</f>
        <v>11.884</v>
      </c>
      <c r="G104" s="49"/>
      <c r="H104" s="49"/>
      <c r="I104" s="49">
        <f>NORMDIST(F104,D157,D158,FALSE)*(F294*10/M293)</f>
        <v>0.0000001102480288</v>
      </c>
      <c r="J104" s="49"/>
      <c r="K104" s="49">
        <f>SUM(L102:L111)</f>
        <v>0</v>
      </c>
      <c r="L104" s="49">
        <v>0.0</v>
      </c>
      <c r="M104" s="49">
        <f>NORMDIST(F104,D157,D158,FALSE)</f>
        <v>0.0000001102480288</v>
      </c>
      <c r="N104" s="77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2.75" customHeight="1">
      <c r="A105" s="49">
        <f t="shared" si="2"/>
        <v>0</v>
      </c>
      <c r="B105" s="76" t="str">
        <f>IF(ISBLANK(G14),NA(),G14)</f>
        <v>#N/A</v>
      </c>
      <c r="C105" s="49">
        <f>IF(P6="C",D157+(D157-L6),H6)</f>
        <v>12.1</v>
      </c>
      <c r="D105" s="49">
        <f>IF(P6="A",(H6+L6)/2,D157)</f>
        <v>12</v>
      </c>
      <c r="E105" s="49">
        <f>L6</f>
        <v>11.9</v>
      </c>
      <c r="F105" s="49">
        <f>F106-F293</f>
        <v>11.886</v>
      </c>
      <c r="G105" s="49"/>
      <c r="H105" s="49"/>
      <c r="I105" s="49">
        <f>NORMDIST(F105,D157,D158,FALSE)*(F294*10/M293)</f>
        <v>0.0000001825665541</v>
      </c>
      <c r="J105" s="49"/>
      <c r="K105" s="49">
        <f>SUM(L102:L111)</f>
        <v>0</v>
      </c>
      <c r="L105" s="49">
        <v>0.0</v>
      </c>
      <c r="M105" s="49">
        <f>NORMDIST(F105,D157,D158,FALSE)</f>
        <v>0.0000001825665541</v>
      </c>
      <c r="N105" s="77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2.75" customHeight="1">
      <c r="A106" s="49">
        <f t="shared" si="2"/>
        <v>0</v>
      </c>
      <c r="B106" s="76" t="str">
        <f>IF(ISBLANK(H14),NA(),H14)</f>
        <v>#N/A</v>
      </c>
      <c r="C106" s="49">
        <f>IF(P6="C",D157+(D157-L6),H6)</f>
        <v>12.1</v>
      </c>
      <c r="D106" s="49">
        <f>IF(P6="A",(H6+L6)/2,D157)</f>
        <v>12</v>
      </c>
      <c r="E106" s="49">
        <f>L6</f>
        <v>11.9</v>
      </c>
      <c r="F106" s="49">
        <f>F107-F293</f>
        <v>11.888</v>
      </c>
      <c r="G106" s="49"/>
      <c r="H106" s="49"/>
      <c r="I106" s="49">
        <f>NORMDIST(F106,D157,D158,FALSE)*(F294*10/M293)</f>
        <v>0.0000003002596625</v>
      </c>
      <c r="J106" s="49"/>
      <c r="K106" s="49">
        <f>SUM(L102:L111)</f>
        <v>0</v>
      </c>
      <c r="L106" s="49">
        <v>0.0</v>
      </c>
      <c r="M106" s="49">
        <f>NORMDIST(F106,D157,D158,FALSE)</f>
        <v>0.0000003002596625</v>
      </c>
      <c r="N106" s="77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2.75" customHeight="1">
      <c r="A107" s="49">
        <f t="shared" si="2"/>
        <v>0</v>
      </c>
      <c r="B107" s="76" t="str">
        <f>IF(ISBLANK(I14),NA(),I14)</f>
        <v>#N/A</v>
      </c>
      <c r="C107" s="49">
        <f>IF(P6="C",D157+(D157-L6),H6)</f>
        <v>12.1</v>
      </c>
      <c r="D107" s="49">
        <f>IF(P6="A",(H6+L6)/2,D157)</f>
        <v>12</v>
      </c>
      <c r="E107" s="49">
        <f>L6</f>
        <v>11.9</v>
      </c>
      <c r="F107" s="49">
        <f>F108-F293</f>
        <v>11.89</v>
      </c>
      <c r="G107" s="49"/>
      <c r="H107" s="49"/>
      <c r="I107" s="49">
        <f>NORMDIST(F107,D157,D158,FALSE)*(F294*10/M293)</f>
        <v>0.0000004904538573</v>
      </c>
      <c r="J107" s="49"/>
      <c r="K107" s="49">
        <f>SUM(L102:L111)</f>
        <v>0</v>
      </c>
      <c r="L107" s="49">
        <v>0.0</v>
      </c>
      <c r="M107" s="49">
        <f>NORMDIST(F107,D157,D158,FALSE)</f>
        <v>0.0000004904538573</v>
      </c>
      <c r="N107" s="77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2.75" customHeight="1">
      <c r="A108" s="49">
        <f t="shared" si="2"/>
        <v>0</v>
      </c>
      <c r="B108" s="76" t="str">
        <f>IF(ISBLANK(J14),NA(),J14)</f>
        <v>#N/A</v>
      </c>
      <c r="C108" s="49">
        <f>IF(P6="C",D157+(D157-L6),H6)</f>
        <v>12.1</v>
      </c>
      <c r="D108" s="49">
        <f>IF(P6="A",(H6+L6)/2,D157)</f>
        <v>12</v>
      </c>
      <c r="E108" s="49">
        <f>L6</f>
        <v>11.9</v>
      </c>
      <c r="F108" s="49">
        <f>F109-F293</f>
        <v>11.892</v>
      </c>
      <c r="G108" s="49"/>
      <c r="H108" s="49"/>
      <c r="I108" s="49">
        <f>NORMDIST(F108,D157,D158,FALSE)*(F294*10/M293)</f>
        <v>0.0000007956548335</v>
      </c>
      <c r="J108" s="49"/>
      <c r="K108" s="49">
        <f>SUM(L102:L111)</f>
        <v>0</v>
      </c>
      <c r="L108" s="49">
        <v>0.0</v>
      </c>
      <c r="M108" s="49">
        <f>NORMDIST(F108,D157,D158,FALSE)</f>
        <v>0.0000007956548335</v>
      </c>
      <c r="N108" s="77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2.75" customHeight="1">
      <c r="A109" s="49">
        <f t="shared" si="2"/>
        <v>0</v>
      </c>
      <c r="B109" s="76" t="str">
        <f>IF(ISBLANK(K14),NA(),K14)</f>
        <v>#N/A</v>
      </c>
      <c r="C109" s="49">
        <f>IF(P6="C",D157+(D157-L6),H6)</f>
        <v>12.1</v>
      </c>
      <c r="D109" s="49">
        <f>IF(P6="A",(H6+L6)/2,D157)</f>
        <v>12</v>
      </c>
      <c r="E109" s="49">
        <f>L6</f>
        <v>11.9</v>
      </c>
      <c r="F109" s="49">
        <f>F110-F293</f>
        <v>11.894</v>
      </c>
      <c r="G109" s="49"/>
      <c r="H109" s="49"/>
      <c r="I109" s="49">
        <f>NORMDIST(F109,D157,D158,FALSE)*(F294*10/M293)</f>
        <v>0.000001281966407</v>
      </c>
      <c r="J109" s="49"/>
      <c r="K109" s="49">
        <f>SUM(L102:L111)</f>
        <v>0</v>
      </c>
      <c r="L109" s="49">
        <v>0.0</v>
      </c>
      <c r="M109" s="49">
        <f>NORMDIST(F109,D157,D158,FALSE)</f>
        <v>0.000001281966407</v>
      </c>
      <c r="N109" s="77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2.75" customHeight="1">
      <c r="A110" s="49">
        <f t="shared" si="2"/>
        <v>0</v>
      </c>
      <c r="B110" s="76" t="str">
        <f>IF(ISBLANK(L14),NA(),L14)</f>
        <v>#N/A</v>
      </c>
      <c r="C110" s="49">
        <f>IF(P6="C",D157+(D157-L6),H6)</f>
        <v>12.1</v>
      </c>
      <c r="D110" s="49">
        <f>IF(P6="A",(H6+L6)/2,D157)</f>
        <v>12</v>
      </c>
      <c r="E110" s="49">
        <f>L6</f>
        <v>11.9</v>
      </c>
      <c r="F110" s="49">
        <f>F111-F293</f>
        <v>11.896</v>
      </c>
      <c r="G110" s="49"/>
      <c r="H110" s="49"/>
      <c r="I110" s="49">
        <f>NORMDIST(F110,D157,D158,FALSE)*(F294*10/M293)</f>
        <v>0.000002051417108</v>
      </c>
      <c r="J110" s="49"/>
      <c r="K110" s="49">
        <f>SUM(L102:L111)</f>
        <v>0</v>
      </c>
      <c r="L110" s="49">
        <v>0.0</v>
      </c>
      <c r="M110" s="49">
        <f>NORMDIST(F110,D157,D158,FALSE)</f>
        <v>0.000002051417108</v>
      </c>
      <c r="N110" s="77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2.75" customHeight="1">
      <c r="A111" s="49">
        <f t="shared" si="2"/>
        <v>0</v>
      </c>
      <c r="B111" s="76" t="str">
        <f>IF(ISBLANK(M14),NA(),M14)</f>
        <v>#N/A</v>
      </c>
      <c r="C111" s="49">
        <f>IF(P6="C",D157+(D157-L6),H6)</f>
        <v>12.1</v>
      </c>
      <c r="D111" s="49">
        <f>IF(P6="A",(H6+L6)/2,D157)</f>
        <v>12</v>
      </c>
      <c r="E111" s="49">
        <f>L6</f>
        <v>11.9</v>
      </c>
      <c r="F111" s="49">
        <f>F112-F293</f>
        <v>11.898</v>
      </c>
      <c r="G111" s="49"/>
      <c r="H111" s="78"/>
      <c r="I111" s="49">
        <f>NORMDIST(F111,D157,D158,FALSE)*(F294*10/M293)</f>
        <v>0.000003260293436</v>
      </c>
      <c r="J111" s="49"/>
      <c r="K111" s="49">
        <f>SUM(L102:L111)</f>
        <v>0</v>
      </c>
      <c r="L111" s="49">
        <v>0.0</v>
      </c>
      <c r="M111" s="49">
        <f>NORMDIST(F111,D157,D158,FALSE)</f>
        <v>0.000003260293436</v>
      </c>
      <c r="N111" s="77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2.75" customHeight="1">
      <c r="A112" s="49">
        <f t="shared" si="2"/>
        <v>0</v>
      </c>
      <c r="B112" s="76" t="str">
        <f>IF(ISBLANK(D15),NA(),D15)</f>
        <v>#N/A</v>
      </c>
      <c r="C112" s="49">
        <f>IF(P6="C",D157+(D157-L6),H6)</f>
        <v>12.1</v>
      </c>
      <c r="D112" s="49">
        <f>IF(P6="A",(H6+L6)/2,D157)</f>
        <v>12</v>
      </c>
      <c r="E112" s="49">
        <f>L6</f>
        <v>11.9</v>
      </c>
      <c r="F112" s="49">
        <f>L6</f>
        <v>11.9</v>
      </c>
      <c r="G112" s="49">
        <f>IF(J112&gt;K112,J112,K112)</f>
        <v>0</v>
      </c>
      <c r="H112" s="78">
        <f>IF(OR(G293=0,I293=0),0,IF(G293&gt;I293,ROUND(G293*1.4,0),ROUND(I293*1.4,0)))</f>
        <v>25</v>
      </c>
      <c r="I112" s="49">
        <f>NORMDIST(F112,D157,D158,FALSE)*(F294*10/M293)</f>
        <v>0.000005146177894</v>
      </c>
      <c r="J112" s="49">
        <f>SUM(L112:L121)</f>
        <v>0</v>
      </c>
      <c r="K112" s="49">
        <f>SUM(L102:L111)</f>
        <v>0</v>
      </c>
      <c r="L112" s="49">
        <v>0.0</v>
      </c>
      <c r="M112" s="49">
        <f>NORMDIST(F112,D157,D158,FALSE)</f>
        <v>0.000005146177894</v>
      </c>
      <c r="N112" s="77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2.75" customHeight="1">
      <c r="A113" s="49">
        <f t="shared" si="2"/>
        <v>0</v>
      </c>
      <c r="B113" s="76" t="str">
        <f>IF(ISBLANK(E15),NA(),E15)</f>
        <v>#N/A</v>
      </c>
      <c r="C113" s="49">
        <f>IF(P6="C",D157+(D157-L6),H6)</f>
        <v>12.1</v>
      </c>
      <c r="D113" s="49">
        <f>IF(P6="A",(H6+L6)/2,D157)</f>
        <v>12</v>
      </c>
      <c r="E113" s="49">
        <f>L6</f>
        <v>11.9</v>
      </c>
      <c r="F113" s="49">
        <f>F112+F293</f>
        <v>11.902</v>
      </c>
      <c r="G113" s="49"/>
      <c r="H113" s="49"/>
      <c r="I113" s="49">
        <f>NORMDIST(F113,D157,D158,FALSE)*(F294*10/M293)</f>
        <v>0.000008067487269</v>
      </c>
      <c r="J113" s="49">
        <f>SUM(L112:L121)</f>
        <v>0</v>
      </c>
      <c r="K113" s="49"/>
      <c r="L113" s="49">
        <v>0.0</v>
      </c>
      <c r="M113" s="49">
        <f>NORMDIST(F113,D157,D158,FALSE)</f>
        <v>0.000008067487269</v>
      </c>
      <c r="N113" s="77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2.75" customHeight="1">
      <c r="A114" s="49">
        <f t="shared" si="2"/>
        <v>0</v>
      </c>
      <c r="B114" s="76" t="str">
        <f>IF(ISBLANK(F15),NA(),F15)</f>
        <v>#N/A</v>
      </c>
      <c r="C114" s="49">
        <f>IF(P6="C",D157+(D157-L6),H6)</f>
        <v>12.1</v>
      </c>
      <c r="D114" s="49">
        <f>IF(P6="A",(H6+L6)/2,D157)</f>
        <v>12</v>
      </c>
      <c r="E114" s="49">
        <f>L6</f>
        <v>11.9</v>
      </c>
      <c r="F114" s="49">
        <f>F113+F293</f>
        <v>11.904</v>
      </c>
      <c r="G114" s="49"/>
      <c r="H114" s="49"/>
      <c r="I114" s="49">
        <f>NORMDIST(F114,D157,D158,FALSE)*(F294*10/M293)</f>
        <v>0.00001256079625</v>
      </c>
      <c r="J114" s="49">
        <f>SUM(L112:L121)</f>
        <v>0</v>
      </c>
      <c r="K114" s="49"/>
      <c r="L114" s="49">
        <v>0.0</v>
      </c>
      <c r="M114" s="49">
        <f>NORMDIST(F114,D157,D158,FALSE)</f>
        <v>0.00001256079625</v>
      </c>
      <c r="N114" s="77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2.75" customHeight="1">
      <c r="A115" s="49">
        <f t="shared" si="2"/>
        <v>0</v>
      </c>
      <c r="B115" s="76" t="str">
        <f>IF(ISBLANK(G15),NA(),G15)</f>
        <v>#N/A</v>
      </c>
      <c r="C115" s="49">
        <f>IF(P6="C",D157+(D157-L6),H6)</f>
        <v>12.1</v>
      </c>
      <c r="D115" s="49">
        <f>IF(P6="A",(H6+L6)/2,D157)</f>
        <v>12</v>
      </c>
      <c r="E115" s="49">
        <f>L6</f>
        <v>11.9</v>
      </c>
      <c r="F115" s="49">
        <f>F114+F293</f>
        <v>11.906</v>
      </c>
      <c r="G115" s="49"/>
      <c r="H115" s="49"/>
      <c r="I115" s="49">
        <f>NORMDIST(F115,D157,D158,FALSE)*(F294*10/M293)</f>
        <v>0.00001942322952</v>
      </c>
      <c r="J115" s="49">
        <f>SUM(L112:L121)</f>
        <v>0</v>
      </c>
      <c r="K115" s="49"/>
      <c r="L115" s="49">
        <v>0.0</v>
      </c>
      <c r="M115" s="49">
        <f>NORMDIST(F115,D157,D158,FALSE)</f>
        <v>0.00001942322952</v>
      </c>
      <c r="N115" s="77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2.75" customHeight="1">
      <c r="A116" s="49">
        <f t="shared" si="2"/>
        <v>0</v>
      </c>
      <c r="B116" s="76" t="str">
        <f>IF(ISBLANK(H15),NA(),H15)</f>
        <v>#N/A</v>
      </c>
      <c r="C116" s="49">
        <f>IF(P6="C",D157+(D157-L6),H6)</f>
        <v>12.1</v>
      </c>
      <c r="D116" s="49">
        <f>IF(P6="A",(H6+L6)/2,D157)</f>
        <v>12</v>
      </c>
      <c r="E116" s="49">
        <f>L6</f>
        <v>11.9</v>
      </c>
      <c r="F116" s="49">
        <f>F115+F293</f>
        <v>11.908</v>
      </c>
      <c r="G116" s="49"/>
      <c r="H116" s="49"/>
      <c r="I116" s="49">
        <f>NORMDIST(F116,D157,D158,FALSE)*(F294*10/M293)</f>
        <v>0.0000298298522</v>
      </c>
      <c r="J116" s="49">
        <f>SUM(L112:L121)</f>
        <v>0</v>
      </c>
      <c r="K116" s="49"/>
      <c r="L116" s="49">
        <v>0.0</v>
      </c>
      <c r="M116" s="49">
        <f>NORMDIST(F116,D157,D158,FALSE)</f>
        <v>0.0000298298522</v>
      </c>
      <c r="N116" s="77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2.75" customHeight="1">
      <c r="A117" s="49">
        <f t="shared" si="2"/>
        <v>0</v>
      </c>
      <c r="B117" s="76" t="str">
        <f>IF(ISBLANK(I15),NA(),I15)</f>
        <v>#N/A</v>
      </c>
      <c r="C117" s="49">
        <f>IF(P6="C",D157+(D157-L6),H6)</f>
        <v>12.1</v>
      </c>
      <c r="D117" s="49">
        <f>IF(P6="A",(H6+L6)/2,D157)</f>
        <v>12</v>
      </c>
      <c r="E117" s="49">
        <f>L6</f>
        <v>11.9</v>
      </c>
      <c r="F117" s="49">
        <f>F116+F293</f>
        <v>11.91</v>
      </c>
      <c r="G117" s="49"/>
      <c r="H117" s="49"/>
      <c r="I117" s="49">
        <f>NORMDIST(F117,D157,D158,FALSE)*(F294*10/M293)</f>
        <v>0.0000454994503</v>
      </c>
      <c r="J117" s="49">
        <f>SUM(L112:L121)</f>
        <v>0</v>
      </c>
      <c r="K117" s="49"/>
      <c r="L117" s="49">
        <v>0.0</v>
      </c>
      <c r="M117" s="49">
        <f>NORMDIST(F117,D157,D158,FALSE)</f>
        <v>0.0000454994503</v>
      </c>
      <c r="N117" s="77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2.75" customHeight="1">
      <c r="A118" s="49">
        <f t="shared" si="2"/>
        <v>0</v>
      </c>
      <c r="B118" s="76" t="str">
        <f>IF(ISBLANK(J15),NA(),J15)</f>
        <v>#N/A</v>
      </c>
      <c r="C118" s="49">
        <f>IF(P6="C",D157+(D157-L6),H6)</f>
        <v>12.1</v>
      </c>
      <c r="D118" s="49">
        <f>IF(P6="A",(H6+L6)/2,D157)</f>
        <v>12</v>
      </c>
      <c r="E118" s="49">
        <f>L6</f>
        <v>11.9</v>
      </c>
      <c r="F118" s="49">
        <f>F117+F293</f>
        <v>11.912</v>
      </c>
      <c r="G118" s="49"/>
      <c r="H118" s="49"/>
      <c r="I118" s="49">
        <f>NORMDIST(F118,D157,D158,FALSE)*(F294*10/M293)</f>
        <v>0.00006892655718</v>
      </c>
      <c r="J118" s="49">
        <f>SUM(L112:L121)</f>
        <v>0</v>
      </c>
      <c r="K118" s="49"/>
      <c r="L118" s="49">
        <v>0.0</v>
      </c>
      <c r="M118" s="49">
        <f>NORMDIST(F118,D157,D158,FALSE)</f>
        <v>0.00006892655718</v>
      </c>
      <c r="N118" s="77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2.75" customHeight="1">
      <c r="A119" s="49">
        <f t="shared" si="2"/>
        <v>0</v>
      </c>
      <c r="B119" s="76" t="str">
        <f>IF(ISBLANK(K15),NA(),K15)</f>
        <v>#N/A</v>
      </c>
      <c r="C119" s="49">
        <f>IF(P6="C",D157+(D157-L6),H6)</f>
        <v>12.1</v>
      </c>
      <c r="D119" s="49">
        <f>IF(P6="A",(H6+L6)/2,D157)</f>
        <v>12</v>
      </c>
      <c r="E119" s="49">
        <f>L6</f>
        <v>11.9</v>
      </c>
      <c r="F119" s="49">
        <f>F118+F293</f>
        <v>11.914</v>
      </c>
      <c r="G119" s="49"/>
      <c r="H119" s="49"/>
      <c r="I119" s="49">
        <f>NORMDIST(F119,D157,D158,FALSE)*(F294*10/M293)</f>
        <v>0.0001037032606</v>
      </c>
      <c r="J119" s="49">
        <f>SUM(L112:L121)</f>
        <v>0</v>
      </c>
      <c r="K119" s="49"/>
      <c r="L119" s="49">
        <v>0.0</v>
      </c>
      <c r="M119" s="49">
        <f>NORMDIST(F119,D157,D158,FALSE)</f>
        <v>0.0001037032606</v>
      </c>
      <c r="N119" s="77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2.75" customHeight="1">
      <c r="A120" s="49">
        <f t="shared" si="2"/>
        <v>0</v>
      </c>
      <c r="B120" s="76" t="str">
        <f>IF(ISBLANK(L15),NA(),L15)</f>
        <v>#N/A</v>
      </c>
      <c r="C120" s="49">
        <f>IF(P6="C",D157+(D157-L6),H6)</f>
        <v>12.1</v>
      </c>
      <c r="D120" s="49">
        <f>IF(P6="A",(H6+L6)/2,D157)</f>
        <v>12</v>
      </c>
      <c r="E120" s="49">
        <f>L6</f>
        <v>11.9</v>
      </c>
      <c r="F120" s="49">
        <f>F119+F293</f>
        <v>11.916</v>
      </c>
      <c r="G120" s="49"/>
      <c r="H120" s="49"/>
      <c r="I120" s="49">
        <f>NORMDIST(F120,D157,D158,FALSE)*(F294*10/M293)</f>
        <v>0.0001549614336</v>
      </c>
      <c r="J120" s="49">
        <f>SUM(L112:L121)</f>
        <v>0</v>
      </c>
      <c r="K120" s="49"/>
      <c r="L120" s="49">
        <v>0.0</v>
      </c>
      <c r="M120" s="49">
        <f>NORMDIST(F120,D157,D158,FALSE)</f>
        <v>0.0001549614336</v>
      </c>
      <c r="N120" s="77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2.75" customHeight="1">
      <c r="A121" s="49">
        <f t="shared" si="2"/>
        <v>0</v>
      </c>
      <c r="B121" s="76" t="str">
        <f>IF(ISBLANK(M15),NA(),M15)</f>
        <v>#N/A</v>
      </c>
      <c r="C121" s="49">
        <f>IF(P6="C",D157+(D157-L6),H6)</f>
        <v>12.1</v>
      </c>
      <c r="D121" s="49">
        <f>IF(P6="A",(H6+L6)/2,D157)</f>
        <v>12</v>
      </c>
      <c r="E121" s="49">
        <f>L6</f>
        <v>11.9</v>
      </c>
      <c r="F121" s="49">
        <f>F120+F293</f>
        <v>11.918</v>
      </c>
      <c r="G121" s="49"/>
      <c r="H121" s="49"/>
      <c r="I121" s="49">
        <f>NORMDIST(F121,D157,D158,FALSE)*(F294*10/M293)</f>
        <v>0.0002299747884</v>
      </c>
      <c r="J121" s="49">
        <f>SUM(L112:L121)</f>
        <v>0</v>
      </c>
      <c r="K121" s="49"/>
      <c r="L121" s="49">
        <v>0.0</v>
      </c>
      <c r="M121" s="49">
        <f>NORMDIST(F121,D157,D158,FALSE)</f>
        <v>0.0002299747884</v>
      </c>
      <c r="N121" s="77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2.75" customHeight="1">
      <c r="A122" s="49">
        <f t="shared" si="2"/>
        <v>0</v>
      </c>
      <c r="B122" s="76" t="str">
        <f>IF(ISBLANK(D16),NA(),D16)</f>
        <v>#N/A</v>
      </c>
      <c r="C122" s="49">
        <f>IF(P6="C",D157+(D157-L6),H6)</f>
        <v>12.1</v>
      </c>
      <c r="D122" s="49">
        <f>IF(P6="A",(H6+L6)/2,D157)</f>
        <v>12</v>
      </c>
      <c r="E122" s="49">
        <f>L6</f>
        <v>11.9</v>
      </c>
      <c r="F122" s="49">
        <f>F121+F293</f>
        <v>11.92</v>
      </c>
      <c r="G122" s="49">
        <f>IF(J122&gt;K122,J122,K122)</f>
        <v>0</v>
      </c>
      <c r="H122" s="49"/>
      <c r="I122" s="49">
        <f>NORMDIST(F122,D157,D158,FALSE)*(F294*10/M293)</f>
        <v>0.0003389707459</v>
      </c>
      <c r="J122" s="49">
        <f>SUM(L112:L121)</f>
        <v>0</v>
      </c>
      <c r="K122" s="49">
        <f>SUM(L122:L131)</f>
        <v>0</v>
      </c>
      <c r="L122" s="49">
        <v>0.0</v>
      </c>
      <c r="M122" s="49">
        <f>NORMDIST(F122,D157,D158,FALSE)</f>
        <v>0.0003389707459</v>
      </c>
      <c r="N122" s="77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2.75" customHeight="1">
      <c r="A123" s="49">
        <f t="shared" si="2"/>
        <v>0</v>
      </c>
      <c r="B123" s="76" t="str">
        <f>IF(ISBLANK(E16),NA(),E16)</f>
        <v>#N/A</v>
      </c>
      <c r="C123" s="49">
        <f>IF(P6="C",D157+(D157-L6),H6)</f>
        <v>12.1</v>
      </c>
      <c r="D123" s="49">
        <f>IF(P6="A",(H6+L6)/2,D157)</f>
        <v>12</v>
      </c>
      <c r="E123" s="49">
        <f>L6</f>
        <v>11.9</v>
      </c>
      <c r="F123" s="49">
        <f>F122+F293</f>
        <v>11.922</v>
      </c>
      <c r="G123" s="49"/>
      <c r="H123" s="49"/>
      <c r="I123" s="49">
        <f>NORMDIST(F123,D157,D158,FALSE)*(F294*10/M293)</f>
        <v>0.0004962146689</v>
      </c>
      <c r="J123" s="49"/>
      <c r="K123" s="49">
        <f>SUM(L122:L131)</f>
        <v>0</v>
      </c>
      <c r="L123" s="49">
        <v>0.0</v>
      </c>
      <c r="M123" s="49">
        <f>NORMDIST(F123,D157,D158,FALSE)</f>
        <v>0.0004962146689</v>
      </c>
      <c r="N123" s="77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2.75" customHeight="1">
      <c r="A124" s="49">
        <f t="shared" si="2"/>
        <v>0</v>
      </c>
      <c r="B124" s="76" t="str">
        <f>IF(ISBLANK(F16),NA(),F16)</f>
        <v>#N/A</v>
      </c>
      <c r="C124" s="49">
        <f>IF(P6="C",D157+(D157-L6),H6)</f>
        <v>12.1</v>
      </c>
      <c r="D124" s="49">
        <f>IF(P6="A",(H6+L6)/2,D157)</f>
        <v>12</v>
      </c>
      <c r="E124" s="49">
        <f>L6</f>
        <v>11.9</v>
      </c>
      <c r="F124" s="49">
        <f>F123+F293</f>
        <v>11.924</v>
      </c>
      <c r="G124" s="49"/>
      <c r="H124" s="49"/>
      <c r="I124" s="49">
        <f>NORMDIST(F124,D157,D158,FALSE)*(F294*10/M293)</f>
        <v>0.0007214435695</v>
      </c>
      <c r="J124" s="49"/>
      <c r="K124" s="49">
        <f>SUM(L122:L131)</f>
        <v>0</v>
      </c>
      <c r="L124" s="49">
        <v>0.0</v>
      </c>
      <c r="M124" s="49">
        <f>NORMDIST(F124,D157,D158,FALSE)</f>
        <v>0.0007214435695</v>
      </c>
      <c r="N124" s="77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2.75" customHeight="1">
      <c r="A125" s="49">
        <f t="shared" si="2"/>
        <v>0</v>
      </c>
      <c r="B125" s="76" t="str">
        <f>IF(ISBLANK(G16),NA(),G16)</f>
        <v>#N/A</v>
      </c>
      <c r="C125" s="49">
        <f>IF(P6="C",D157+(D157-L6),H6)</f>
        <v>12.1</v>
      </c>
      <c r="D125" s="49">
        <f>IF(P6="A",(H6+L6)/2,D157)</f>
        <v>12</v>
      </c>
      <c r="E125" s="49">
        <f>L6</f>
        <v>11.9</v>
      </c>
      <c r="F125" s="49">
        <f>F124+F293</f>
        <v>11.926</v>
      </c>
      <c r="G125" s="49"/>
      <c r="H125" s="49"/>
      <c r="I125" s="49">
        <f>NORMDIST(F125,D157,D158,FALSE)*(F294*10/M293)</f>
        <v>0.001041742838</v>
      </c>
      <c r="J125" s="49"/>
      <c r="K125" s="49">
        <f>SUM(L122:L131)</f>
        <v>0</v>
      </c>
      <c r="L125" s="49">
        <v>0.0</v>
      </c>
      <c r="M125" s="49">
        <f>NORMDIST(F125,D157,D158,FALSE)</f>
        <v>0.001041742838</v>
      </c>
      <c r="N125" s="77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2.75" customHeight="1">
      <c r="A126" s="49">
        <f t="shared" si="2"/>
        <v>0</v>
      </c>
      <c r="B126" s="76" t="str">
        <f>IF(ISBLANK(H16),NA(),H16)</f>
        <v>#N/A</v>
      </c>
      <c r="C126" s="49">
        <f>IF(P6="C",D157+(D157-L6),H6)</f>
        <v>12.1</v>
      </c>
      <c r="D126" s="49">
        <f>IF(P6="A",(H6+L6)/2,D157)</f>
        <v>12</v>
      </c>
      <c r="E126" s="49">
        <f>L6</f>
        <v>11.9</v>
      </c>
      <c r="F126" s="49">
        <f>F125+F293</f>
        <v>11.928</v>
      </c>
      <c r="G126" s="49"/>
      <c r="H126" s="49"/>
      <c r="I126" s="49">
        <f>NORMDIST(F126,D157,D158,FALSE)*(F294*10/M293)</f>
        <v>0.001493977541</v>
      </c>
      <c r="J126" s="49"/>
      <c r="K126" s="49">
        <f>SUM(L122:L131)</f>
        <v>0</v>
      </c>
      <c r="L126" s="49">
        <v>0.0</v>
      </c>
      <c r="M126" s="49">
        <f>NORMDIST(F126,D157,D158,FALSE)</f>
        <v>0.001493977541</v>
      </c>
      <c r="N126" s="77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2.75" customHeight="1">
      <c r="A127" s="49">
        <f t="shared" si="2"/>
        <v>0</v>
      </c>
      <c r="B127" s="76" t="str">
        <f>IF(ISBLANK(I16),NA(),I16)</f>
        <v>#N/A</v>
      </c>
      <c r="C127" s="49">
        <f>IF(P6="C",D157+(D157-L6),H6)</f>
        <v>12.1</v>
      </c>
      <c r="D127" s="49">
        <f>IF(P6="A",(H6+L6)/2,D157)</f>
        <v>12</v>
      </c>
      <c r="E127" s="49">
        <f>L6</f>
        <v>11.9</v>
      </c>
      <c r="F127" s="49">
        <f>F126+F293</f>
        <v>11.93</v>
      </c>
      <c r="G127" s="49"/>
      <c r="H127" s="49"/>
      <c r="I127" s="49">
        <f>NORMDIST(F127,D157,D158,FALSE)*(F294*10/M293)</f>
        <v>0.002127908761</v>
      </c>
      <c r="J127" s="49"/>
      <c r="K127" s="49">
        <f>SUM(L122:L131)</f>
        <v>0</v>
      </c>
      <c r="L127" s="49">
        <v>0.0</v>
      </c>
      <c r="M127" s="49">
        <f>NORMDIST(F127,D157,D158,FALSE)</f>
        <v>0.002127908761</v>
      </c>
      <c r="N127" s="77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2.75" customHeight="1">
      <c r="A128" s="49">
        <f t="shared" si="2"/>
        <v>0</v>
      </c>
      <c r="B128" s="76" t="str">
        <f>IF(ISBLANK(J16),NA(),J16)</f>
        <v>#N/A</v>
      </c>
      <c r="C128" s="49">
        <f>IF(P6="C",D157+(D157-L6),H6)</f>
        <v>12.1</v>
      </c>
      <c r="D128" s="49">
        <f>IF(P6="A",(H6+L6)/2,D157)</f>
        <v>12</v>
      </c>
      <c r="E128" s="49">
        <f>L6</f>
        <v>11.9</v>
      </c>
      <c r="F128" s="49">
        <f>F127+F293</f>
        <v>11.932</v>
      </c>
      <c r="G128" s="49"/>
      <c r="H128" s="49"/>
      <c r="I128" s="49">
        <f>NORMDIST(F128,D157,D158,FALSE)*(F294*10/M293)</f>
        <v>0.003010144369</v>
      </c>
      <c r="J128" s="49"/>
      <c r="K128" s="49">
        <f>SUM(L122:L131)</f>
        <v>0</v>
      </c>
      <c r="L128" s="49">
        <v>0.0</v>
      </c>
      <c r="M128" s="49">
        <f>NORMDIST(F128,D157,D158,FALSE)</f>
        <v>0.003010144369</v>
      </c>
      <c r="N128" s="77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2.75" customHeight="1">
      <c r="A129" s="49">
        <f t="shared" si="2"/>
        <v>0</v>
      </c>
      <c r="B129" s="76" t="str">
        <f>IF(ISBLANK(K16),NA(),K16)</f>
        <v>#N/A</v>
      </c>
      <c r="C129" s="49">
        <f>IF(P6="C",D157+(D157-L6),H6)</f>
        <v>12.1</v>
      </c>
      <c r="D129" s="49">
        <f>IF(P6="A",(H6+L6)/2,D157)</f>
        <v>12</v>
      </c>
      <c r="E129" s="49">
        <f>L6</f>
        <v>11.9</v>
      </c>
      <c r="F129" s="49">
        <f>F128+F293</f>
        <v>11.934</v>
      </c>
      <c r="G129" s="49"/>
      <c r="H129" s="49"/>
      <c r="I129" s="49">
        <f>NORMDIST(F129,D157,D158,FALSE)*(F294*10/M293)</f>
        <v>0.004229091058</v>
      </c>
      <c r="J129" s="49"/>
      <c r="K129" s="49">
        <f>SUM(L122:L131)</f>
        <v>0</v>
      </c>
      <c r="L129" s="49">
        <v>0.0</v>
      </c>
      <c r="M129" s="49">
        <f>NORMDIST(F129,D157,D158,FALSE)</f>
        <v>0.004229091058</v>
      </c>
      <c r="N129" s="77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2.75" customHeight="1">
      <c r="A130" s="49">
        <f t="shared" si="2"/>
        <v>0</v>
      </c>
      <c r="B130" s="76" t="str">
        <f>IF(ISBLANK(L16),NA(),L16)</f>
        <v>#N/A</v>
      </c>
      <c r="C130" s="49">
        <f>IF(P6="C",D157+(D157-L6),H6)</f>
        <v>12.1</v>
      </c>
      <c r="D130" s="49">
        <f>IF(P6="A",(H6+L6)/2,D157)</f>
        <v>12</v>
      </c>
      <c r="E130" s="49">
        <f>L6</f>
        <v>11.9</v>
      </c>
      <c r="F130" s="49">
        <f>F129+F293</f>
        <v>11.936</v>
      </c>
      <c r="G130" s="49"/>
      <c r="H130" s="49"/>
      <c r="I130" s="49">
        <f>NORMDIST(F130,D157,D158,FALSE)*(F294*10/M293)</f>
        <v>0.005901088607</v>
      </c>
      <c r="J130" s="49"/>
      <c r="K130" s="49">
        <f>SUM(L122:L131)</f>
        <v>0</v>
      </c>
      <c r="L130" s="49">
        <v>0.0</v>
      </c>
      <c r="M130" s="49">
        <f>NORMDIST(F130,D157,D158,FALSE)</f>
        <v>0.005901088607</v>
      </c>
      <c r="N130" s="77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2.75" customHeight="1">
      <c r="A131" s="49">
        <f t="shared" si="2"/>
        <v>0</v>
      </c>
      <c r="B131" s="76" t="str">
        <f>IF(ISBLANK(M16),NA(),M16)</f>
        <v>#N/A</v>
      </c>
      <c r="C131" s="49">
        <f>IF(P6="C",D157+(D157-L6),H6)</f>
        <v>12.1</v>
      </c>
      <c r="D131" s="49">
        <f>IF(P6="A",(H6+L6)/2,D157)</f>
        <v>12</v>
      </c>
      <c r="E131" s="49">
        <f>L6</f>
        <v>11.9</v>
      </c>
      <c r="F131" s="49">
        <f>F130+F293</f>
        <v>11.938</v>
      </c>
      <c r="G131" s="49"/>
      <c r="H131" s="49"/>
      <c r="I131" s="49">
        <f>NORMDIST(F131,D157,D158,FALSE)*(F294*10/M293)</f>
        <v>0.008177915598</v>
      </c>
      <c r="J131" s="49"/>
      <c r="K131" s="49">
        <f>SUM(L122:L131)</f>
        <v>0</v>
      </c>
      <c r="L131" s="49">
        <v>0.0</v>
      </c>
      <c r="M131" s="49">
        <f>NORMDIST(F131,D157,D158,FALSE)</f>
        <v>0.008177915598</v>
      </c>
      <c r="N131" s="77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2.75" customHeight="1">
      <c r="A132" s="49">
        <f t="shared" si="2"/>
        <v>0</v>
      </c>
      <c r="B132" s="76" t="str">
        <f>IF(ISBLANK(D17),NA(),D17)</f>
        <v>#N/A</v>
      </c>
      <c r="C132" s="49">
        <f>IF(P6="C",D157+(D157-L6),H6)</f>
        <v>12.1</v>
      </c>
      <c r="D132" s="49">
        <f>IF(P6="A",(H6+L6)/2,D157)</f>
        <v>12</v>
      </c>
      <c r="E132" s="49">
        <f>L6</f>
        <v>11.9</v>
      </c>
      <c r="F132" s="49">
        <f>F131+F293</f>
        <v>11.94</v>
      </c>
      <c r="G132" s="49">
        <f>IF(J132&gt;K132,J132,K132)</f>
        <v>0</v>
      </c>
      <c r="H132" s="49"/>
      <c r="I132" s="49">
        <f>NORMDIST(F132,D157,D158,FALSE)*(F294*10/M293)</f>
        <v>0.01125585528</v>
      </c>
      <c r="J132" s="49">
        <f>SUM(L132:L141)</f>
        <v>0</v>
      </c>
      <c r="K132" s="49">
        <f>SUM(L122:L131)</f>
        <v>0</v>
      </c>
      <c r="L132" s="49">
        <v>0.0</v>
      </c>
      <c r="M132" s="49">
        <f>NORMDIST(F132,D157,D158,FALSE)</f>
        <v>0.01125585528</v>
      </c>
      <c r="N132" s="77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2.75" customHeight="1">
      <c r="A133" s="49">
        <f t="shared" si="2"/>
        <v>0</v>
      </c>
      <c r="B133" s="76" t="str">
        <f>IF(ISBLANK(E17),NA(),E17)</f>
        <v>#N/A</v>
      </c>
      <c r="C133" s="49">
        <f>IF(P6="C",D157+(D157-L6),H6)</f>
        <v>12.1</v>
      </c>
      <c r="D133" s="49">
        <f>IF(P6="A",(H6+L6)/2,D157)</f>
        <v>12</v>
      </c>
      <c r="E133" s="49">
        <f>L6</f>
        <v>11.9</v>
      </c>
      <c r="F133" s="49">
        <f>F132+F293</f>
        <v>11.942</v>
      </c>
      <c r="G133" s="49"/>
      <c r="H133" s="49"/>
      <c r="I133" s="49">
        <f>NORMDIST(F133,D157,D158,FALSE)*(F294*10/M293)</f>
        <v>0.01538649734</v>
      </c>
      <c r="J133" s="49">
        <f>SUM(L132:L141)</f>
        <v>0</v>
      </c>
      <c r="K133" s="49"/>
      <c r="L133" s="49">
        <v>0.0</v>
      </c>
      <c r="M133" s="49">
        <f>NORMDIST(F133,D157,D158,FALSE)</f>
        <v>0.01538649734</v>
      </c>
      <c r="N133" s="77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2.75" customHeight="1">
      <c r="A134" s="49">
        <f t="shared" si="2"/>
        <v>0</v>
      </c>
      <c r="B134" s="76" t="str">
        <f>IF(ISBLANK(F17),NA(),F17)</f>
        <v>#N/A</v>
      </c>
      <c r="C134" s="49">
        <f>IF(P6="C",D157+(D157-L6),H6)</f>
        <v>12.1</v>
      </c>
      <c r="D134" s="49">
        <f>IF(P6="A",(H6+L6)/2,D157)</f>
        <v>12</v>
      </c>
      <c r="E134" s="49">
        <f>L6</f>
        <v>11.9</v>
      </c>
      <c r="F134" s="49">
        <f>F133+F293</f>
        <v>11.944</v>
      </c>
      <c r="G134" s="49"/>
      <c r="H134" s="49"/>
      <c r="I134" s="49">
        <f>NORMDIST(F134,D157,D158,FALSE)*(F294*10/M293)</f>
        <v>0.02088942184</v>
      </c>
      <c r="J134" s="49">
        <f>SUM(L132:L141)</f>
        <v>0</v>
      </c>
      <c r="K134" s="49"/>
      <c r="L134" s="49">
        <v>0.0</v>
      </c>
      <c r="M134" s="49">
        <f>NORMDIST(F134,D157,D158,FALSE)</f>
        <v>0.02088942184</v>
      </c>
      <c r="N134" s="77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2.75" customHeight="1">
      <c r="A135" s="49">
        <f t="shared" si="2"/>
        <v>0</v>
      </c>
      <c r="B135" s="76" t="str">
        <f>IF(ISBLANK(G17),NA(),G17)</f>
        <v>#N/A</v>
      </c>
      <c r="C135" s="49">
        <f>IF(P6="C",D157+(D157-L6),H6)</f>
        <v>12.1</v>
      </c>
      <c r="D135" s="49">
        <f>IF(P6="A",(H6+L6)/2,D157)</f>
        <v>12</v>
      </c>
      <c r="E135" s="49">
        <f>L6</f>
        <v>11.9</v>
      </c>
      <c r="F135" s="49">
        <f>F134+F293</f>
        <v>11.946</v>
      </c>
      <c r="G135" s="49"/>
      <c r="H135" s="49"/>
      <c r="I135" s="49">
        <f>NORMDIST(F135,D157,D158,FALSE)*(F294*10/M293)</f>
        <v>0.02816686178</v>
      </c>
      <c r="J135" s="49">
        <f>SUM(L132:L141)</f>
        <v>0</v>
      </c>
      <c r="K135" s="49"/>
      <c r="L135" s="49">
        <v>0.0</v>
      </c>
      <c r="M135" s="49">
        <f>NORMDIST(F135,D157,D158,FALSE)</f>
        <v>0.02816686178</v>
      </c>
      <c r="N135" s="77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2.75" customHeight="1">
      <c r="A136" s="49">
        <f t="shared" si="2"/>
        <v>0</v>
      </c>
      <c r="B136" s="76" t="str">
        <f>IF(ISBLANK(H17),NA(),H17)</f>
        <v>#N/A</v>
      </c>
      <c r="C136" s="49">
        <f>IF(P6="C",D157+(D157-L6),H6)</f>
        <v>12.1</v>
      </c>
      <c r="D136" s="49">
        <f>IF(P6="A",(H6+L6)/2,D157)</f>
        <v>12</v>
      </c>
      <c r="E136" s="49">
        <f>L6</f>
        <v>11.9</v>
      </c>
      <c r="F136" s="49">
        <f>F135+F293</f>
        <v>11.948</v>
      </c>
      <c r="G136" s="49"/>
      <c r="H136" s="49"/>
      <c r="I136" s="49">
        <f>NORMDIST(F136,D157,D158,FALSE)*(F294*10/M293)</f>
        <v>0.03772036562</v>
      </c>
      <c r="J136" s="49">
        <f>SUM(L132:L141)</f>
        <v>0</v>
      </c>
      <c r="K136" s="49"/>
      <c r="L136" s="49">
        <v>0.0</v>
      </c>
      <c r="M136" s="49">
        <f>NORMDIST(F136,D157,D158,FALSE)</f>
        <v>0.03772036562</v>
      </c>
      <c r="N136" s="77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2.75" customHeight="1">
      <c r="A137" s="49">
        <f t="shared" si="2"/>
        <v>0</v>
      </c>
      <c r="B137" s="76" t="str">
        <f>IF(ISBLANK(I17),NA(),I17)</f>
        <v>#N/A</v>
      </c>
      <c r="C137" s="49">
        <f>IF(P6="C",D157+(D157-L6),H6)</f>
        <v>12.1</v>
      </c>
      <c r="D137" s="49">
        <f>IF(P6="A",(H6+L6)/2,D157)</f>
        <v>12</v>
      </c>
      <c r="E137" s="49">
        <f>L6</f>
        <v>11.9</v>
      </c>
      <c r="F137" s="49">
        <f>F136+F293</f>
        <v>11.95</v>
      </c>
      <c r="G137" s="49"/>
      <c r="H137" s="49"/>
      <c r="I137" s="49">
        <f>NORMDIST(F137,D157,D158,FALSE)*(F294*10/M293)</f>
        <v>0.05016937761</v>
      </c>
      <c r="J137" s="49">
        <f>SUM(L132:L141)</f>
        <v>0</v>
      </c>
      <c r="K137" s="49"/>
      <c r="L137" s="49">
        <v>0.0</v>
      </c>
      <c r="M137" s="49">
        <f>NORMDIST(F137,D157,D158,FALSE)</f>
        <v>0.05016937761</v>
      </c>
      <c r="N137" s="77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2.75" customHeight="1">
      <c r="A138" s="49">
        <f t="shared" si="2"/>
        <v>0</v>
      </c>
      <c r="B138" s="76" t="str">
        <f>IF(ISBLANK(J17),NA(),J17)</f>
        <v>#N/A</v>
      </c>
      <c r="C138" s="49">
        <f>IF(P6="C",D157+(D157-L6),H6)</f>
        <v>12.1</v>
      </c>
      <c r="D138" s="49">
        <f>IF(P6="A",(H6+L6)/2,D157)</f>
        <v>12</v>
      </c>
      <c r="E138" s="49">
        <f>L6</f>
        <v>11.9</v>
      </c>
      <c r="F138" s="49">
        <f>F137+F293</f>
        <v>11.952</v>
      </c>
      <c r="G138" s="49"/>
      <c r="H138" s="49"/>
      <c r="I138" s="49">
        <f>NORMDIST(F138,D157,D158,FALSE)*(F294*10/M293)</f>
        <v>0.06627151846</v>
      </c>
      <c r="J138" s="49">
        <f>SUM(L132:L141)</f>
        <v>0</v>
      </c>
      <c r="K138" s="49"/>
      <c r="L138" s="49">
        <v>0.0</v>
      </c>
      <c r="M138" s="49">
        <f>NORMDIST(F138,D157,D158,FALSE)</f>
        <v>0.06627151846</v>
      </c>
      <c r="N138" s="77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2.75" customHeight="1">
      <c r="A139" s="49">
        <f t="shared" si="2"/>
        <v>0</v>
      </c>
      <c r="B139" s="76" t="str">
        <f>IF(ISBLANK(K17),NA(),K17)</f>
        <v>#N/A</v>
      </c>
      <c r="C139" s="49">
        <f>IF(P6="C",D157+(D157-L6),H6)</f>
        <v>12.1</v>
      </c>
      <c r="D139" s="49">
        <f>IF(P6="A",(H6+L6)/2,D157)</f>
        <v>12</v>
      </c>
      <c r="E139" s="49">
        <f>L6</f>
        <v>11.9</v>
      </c>
      <c r="F139" s="49">
        <f>F138+F293</f>
        <v>11.954</v>
      </c>
      <c r="G139" s="49"/>
      <c r="H139" s="49"/>
      <c r="I139" s="49">
        <f>NORMDIST(F139,D157,D158,FALSE)*(F294*10/M293)</f>
        <v>0.0869441805</v>
      </c>
      <c r="J139" s="49">
        <f>SUM(L132:L141)</f>
        <v>0</v>
      </c>
      <c r="K139" s="49"/>
      <c r="L139" s="49">
        <v>0.0</v>
      </c>
      <c r="M139" s="49">
        <f>NORMDIST(F139,D157,D158,FALSE)</f>
        <v>0.0869441805</v>
      </c>
      <c r="N139" s="77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2.75" customHeight="1">
      <c r="A140" s="49">
        <f t="shared" si="2"/>
        <v>0</v>
      </c>
      <c r="B140" s="76" t="str">
        <f>IF(ISBLANK(L17),NA(),L17)</f>
        <v>#N/A</v>
      </c>
      <c r="C140" s="49">
        <f>IF(P6="C",D157+(D157-L6),H6)</f>
        <v>12.1</v>
      </c>
      <c r="D140" s="49">
        <f>IF(P6="A",(H6+L6)/2,D157)</f>
        <v>12</v>
      </c>
      <c r="E140" s="49">
        <f>L6</f>
        <v>11.9</v>
      </c>
      <c r="F140" s="49">
        <f>F139+F293</f>
        <v>11.956</v>
      </c>
      <c r="G140" s="49"/>
      <c r="H140" s="49"/>
      <c r="I140" s="49">
        <f>NORMDIST(F140,D157,D158,FALSE)*(F294*10/M293)</f>
        <v>0.1132868507</v>
      </c>
      <c r="J140" s="49">
        <f>SUM(L132:L141)</f>
        <v>0</v>
      </c>
      <c r="K140" s="49"/>
      <c r="L140" s="49">
        <v>0.0</v>
      </c>
      <c r="M140" s="49">
        <f>NORMDIST(F140,D157,D158,FALSE)</f>
        <v>0.1132868507</v>
      </c>
      <c r="N140" s="77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2.75" customHeight="1">
      <c r="A141" s="49">
        <f t="shared" si="2"/>
        <v>0</v>
      </c>
      <c r="B141" s="76" t="str">
        <f>IF(ISBLANK(M17),NA(),M17)</f>
        <v>#N/A</v>
      </c>
      <c r="C141" s="49">
        <f>IF(P6="C",D157+(D157-L6),H6)</f>
        <v>12.1</v>
      </c>
      <c r="D141" s="49">
        <f>IF(P6="A",(H6+L6)/2,D157)</f>
        <v>12</v>
      </c>
      <c r="E141" s="49">
        <f>L6</f>
        <v>11.9</v>
      </c>
      <c r="F141" s="49">
        <f>F140+F293</f>
        <v>11.958</v>
      </c>
      <c r="G141" s="49"/>
      <c r="H141" s="49"/>
      <c r="I141" s="49">
        <f>NORMDIST(F141,D157,D158,FALSE)*(F294*10/M293)</f>
        <v>0.1466033444</v>
      </c>
      <c r="J141" s="49">
        <f>SUM(L132:L141)</f>
        <v>0</v>
      </c>
      <c r="K141" s="49"/>
      <c r="L141" s="49">
        <v>0.0</v>
      </c>
      <c r="M141" s="49">
        <f>NORMDIST(F141,D157,D158,FALSE)</f>
        <v>0.1466033444</v>
      </c>
      <c r="N141" s="77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2.75" customHeight="1">
      <c r="A142" s="49">
        <f t="shared" si="2"/>
        <v>0</v>
      </c>
      <c r="B142" s="76" t="str">
        <f>IF(ISBLANK(D18),NA(),D18)</f>
        <v>#N/A</v>
      </c>
      <c r="C142" s="49">
        <f>IF(P6="C",D157+(D157-L6),H6)</f>
        <v>12.1</v>
      </c>
      <c r="D142" s="49">
        <f>IF(P6="A",(H6+L6)/2,D157)</f>
        <v>12</v>
      </c>
      <c r="E142" s="49">
        <f>L6</f>
        <v>11.9</v>
      </c>
      <c r="F142" s="49">
        <f>F141+F293</f>
        <v>11.96</v>
      </c>
      <c r="G142" s="49">
        <f>IF(J142&gt;K142,J142,K142)</f>
        <v>0</v>
      </c>
      <c r="H142" s="49"/>
      <c r="I142" s="49">
        <f>NORMDIST(F142,D157,D158,FALSE)*(F294*10/M293)</f>
        <v>0.1884228812</v>
      </c>
      <c r="J142" s="49">
        <f>SUM(L132:L141)</f>
        <v>0</v>
      </c>
      <c r="K142" s="49">
        <f>SUM(L142:L151)</f>
        <v>0</v>
      </c>
      <c r="L142" s="49">
        <v>0.0</v>
      </c>
      <c r="M142" s="49">
        <f>NORMDIST(F142,D157,D158,FALSE)</f>
        <v>0.1884228812</v>
      </c>
      <c r="N142" s="77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2.75" customHeight="1">
      <c r="A143" s="49">
        <f t="shared" si="2"/>
        <v>0</v>
      </c>
      <c r="B143" s="76" t="str">
        <f>IF(ISBLANK(E18),NA(),E18)</f>
        <v>#N/A</v>
      </c>
      <c r="C143" s="49">
        <f>IF(P6="C",D157+(D157-L6),H6)</f>
        <v>12.1</v>
      </c>
      <c r="D143" s="49">
        <f>IF(P6="A",(H6+L6)/2,D157)</f>
        <v>12</v>
      </c>
      <c r="E143" s="49">
        <f>L6</f>
        <v>11.9</v>
      </c>
      <c r="F143" s="49">
        <f>F142+F293</f>
        <v>11.962</v>
      </c>
      <c r="G143" s="49"/>
      <c r="H143" s="49"/>
      <c r="I143" s="49">
        <f>NORMDIST(F143,D157,D158,FALSE)*(F294*10/M293)</f>
        <v>0.2405186687</v>
      </c>
      <c r="J143" s="49"/>
      <c r="K143" s="49">
        <f>SUM(L142:L151)</f>
        <v>0</v>
      </c>
      <c r="L143" s="49">
        <v>0.0</v>
      </c>
      <c r="M143" s="49">
        <f>NORMDIST(F143,D157,D158,FALSE)</f>
        <v>0.2405186687</v>
      </c>
      <c r="N143" s="77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2.75" customHeight="1">
      <c r="A144" s="49">
        <f t="shared" si="2"/>
        <v>0</v>
      </c>
      <c r="B144" s="76" t="str">
        <f>IF(ISBLANK(F18),NA(),F18)</f>
        <v>#N/A</v>
      </c>
      <c r="C144" s="49">
        <f>IF(P6="C",D157+(D157-L6),H6)</f>
        <v>12.1</v>
      </c>
      <c r="D144" s="49">
        <f>IF(P6="A",(H6+L6)/2,D157)</f>
        <v>12</v>
      </c>
      <c r="E144" s="49">
        <f>L6</f>
        <v>11.9</v>
      </c>
      <c r="F144" s="49">
        <f>F143+F293</f>
        <v>11.964</v>
      </c>
      <c r="G144" s="49"/>
      <c r="H144" s="49"/>
      <c r="I144" s="49">
        <f>NORMDIST(F144,D157,D158,FALSE)*(F294*10/M293)</f>
        <v>0.3049224012</v>
      </c>
      <c r="J144" s="49"/>
      <c r="K144" s="49">
        <f>SUM(L142:L151)</f>
        <v>0</v>
      </c>
      <c r="L144" s="49">
        <v>0.0</v>
      </c>
      <c r="M144" s="49">
        <f>NORMDIST(F144,D157,D158,FALSE)</f>
        <v>0.3049224012</v>
      </c>
      <c r="N144" s="77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2.75" customHeight="1">
      <c r="A145" s="49">
        <f t="shared" si="2"/>
        <v>0</v>
      </c>
      <c r="B145" s="76" t="str">
        <f>IF(ISBLANK(G18),NA(),G18)</f>
        <v>#N/A</v>
      </c>
      <c r="C145" s="49">
        <f>IF(P6="C",D157+(D157-L6),H6)</f>
        <v>12.1</v>
      </c>
      <c r="D145" s="49">
        <f>IF(P6="A",(H6+L6)/2,D157)</f>
        <v>12</v>
      </c>
      <c r="E145" s="49">
        <f>L6</f>
        <v>11.9</v>
      </c>
      <c r="F145" s="49">
        <f>F144+F293</f>
        <v>11.966</v>
      </c>
      <c r="G145" s="49"/>
      <c r="H145" s="49"/>
      <c r="I145" s="49">
        <f>NORMDIST(F145,D157,D158,FALSE)*(F294*10/M293)</f>
        <v>0.3839328382</v>
      </c>
      <c r="J145" s="49"/>
      <c r="K145" s="49">
        <f>SUM(L142:L151)</f>
        <v>0</v>
      </c>
      <c r="L145" s="49">
        <v>0.0</v>
      </c>
      <c r="M145" s="49">
        <f>NORMDIST(F145,D157,D158,FALSE)</f>
        <v>0.3839328382</v>
      </c>
      <c r="N145" s="77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2.75" customHeight="1">
      <c r="A146" s="49">
        <f t="shared" si="2"/>
        <v>0</v>
      </c>
      <c r="B146" s="76" t="str">
        <f>IF(ISBLANK(H18),NA(),H18)</f>
        <v>#N/A</v>
      </c>
      <c r="C146" s="49">
        <f>IF(P6="C",D157+(D157-L6),H6)</f>
        <v>12.1</v>
      </c>
      <c r="D146" s="49">
        <f>IF(P6="A",(H6+L6)/2,D157)</f>
        <v>12</v>
      </c>
      <c r="E146" s="49">
        <f>L6</f>
        <v>11.9</v>
      </c>
      <c r="F146" s="49">
        <f>F145+F293</f>
        <v>11.968</v>
      </c>
      <c r="G146" s="49"/>
      <c r="H146" s="49"/>
      <c r="I146" s="49">
        <f>NORMDIST(F146,D157,D158,FALSE)*(F294*10/M293)</f>
        <v>0.4801164389</v>
      </c>
      <c r="J146" s="49"/>
      <c r="K146" s="49">
        <f>SUM(L142:L151)</f>
        <v>0</v>
      </c>
      <c r="L146" s="49">
        <v>0.0</v>
      </c>
      <c r="M146" s="49">
        <f>NORMDIST(F146,D157,D158,FALSE)</f>
        <v>0.4801164389</v>
      </c>
      <c r="N146" s="77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2.75" customHeight="1">
      <c r="A147" s="49">
        <f t="shared" si="2"/>
        <v>0</v>
      </c>
      <c r="B147" s="76" t="str">
        <f>IF(ISBLANK(I18),NA(),I18)</f>
        <v>#N/A</v>
      </c>
      <c r="C147" s="49">
        <f>IF(P6="C",D157+(D157-L6),H6)</f>
        <v>12.1</v>
      </c>
      <c r="D147" s="49">
        <f>IF(P6="A",(H6+L6)/2,D157)</f>
        <v>12</v>
      </c>
      <c r="E147" s="49">
        <f>L6</f>
        <v>11.9</v>
      </c>
      <c r="F147" s="49">
        <f>F146+F293</f>
        <v>11.97</v>
      </c>
      <c r="G147" s="49"/>
      <c r="H147" s="49"/>
      <c r="I147" s="49">
        <f>NORMDIST(F147,D157,D158,FALSE)*(F294*10/M293)</f>
        <v>0.5962979024</v>
      </c>
      <c r="J147" s="49"/>
      <c r="K147" s="49">
        <f>SUM(L142:L151)</f>
        <v>0</v>
      </c>
      <c r="L147" s="49">
        <v>0.0</v>
      </c>
      <c r="M147" s="49">
        <f>NORMDIST(F147,D157,D158,FALSE)</f>
        <v>0.5962979024</v>
      </c>
      <c r="N147" s="77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2.75" customHeight="1">
      <c r="A148" s="49">
        <f t="shared" si="2"/>
        <v>0</v>
      </c>
      <c r="B148" s="76" t="str">
        <f>IF(ISBLANK(J18),NA(),J18)</f>
        <v>#N/A</v>
      </c>
      <c r="C148" s="49">
        <f>IF(P6="C",D157+(D157-L6),H6)</f>
        <v>12.1</v>
      </c>
      <c r="D148" s="49">
        <f>IF(P6="A",(H6+L6)/2,D157)</f>
        <v>12</v>
      </c>
      <c r="E148" s="49">
        <f>L6</f>
        <v>11.9</v>
      </c>
      <c r="F148" s="49">
        <f>F147+F293</f>
        <v>11.972</v>
      </c>
      <c r="G148" s="49"/>
      <c r="H148" s="49"/>
      <c r="I148" s="49">
        <f>NORMDIST(F148,D157,D158,FALSE)*(F294*10/M293)</f>
        <v>0.7355384422</v>
      </c>
      <c r="J148" s="49"/>
      <c r="K148" s="49">
        <f>SUM(L142:L151)</f>
        <v>0</v>
      </c>
      <c r="L148" s="49">
        <v>0.0</v>
      </c>
      <c r="M148" s="49">
        <f>NORMDIST(F148,D157,D158,FALSE)</f>
        <v>0.7355384422</v>
      </c>
      <c r="N148" s="77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2.75" customHeight="1">
      <c r="A149" s="49">
        <f t="shared" si="2"/>
        <v>0</v>
      </c>
      <c r="B149" s="76" t="str">
        <f>IF(ISBLANK(K18),NA(),K18)</f>
        <v>#N/A</v>
      </c>
      <c r="C149" s="49">
        <f>IF(P6="C",D157+(D157-L6),H6)</f>
        <v>12.1</v>
      </c>
      <c r="D149" s="49">
        <f>IF(P6="A",(H6+L6)/2,D157)</f>
        <v>12</v>
      </c>
      <c r="E149" s="49">
        <f>L6</f>
        <v>11.9</v>
      </c>
      <c r="F149" s="49">
        <f>F148+F293</f>
        <v>11.974</v>
      </c>
      <c r="G149" s="49"/>
      <c r="H149" s="49"/>
      <c r="I149" s="49">
        <f>NORMDIST(F149,D157,D158,FALSE)*(F294*10/M293)</f>
        <v>0.9010997272</v>
      </c>
      <c r="J149" s="49"/>
      <c r="K149" s="49">
        <f>SUM(L142:L151)</f>
        <v>0</v>
      </c>
      <c r="L149" s="49">
        <v>0.0</v>
      </c>
      <c r="M149" s="49">
        <f>NORMDIST(F149,D157,D158,FALSE)</f>
        <v>0.9010997272</v>
      </c>
      <c r="N149" s="77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2.75" customHeight="1">
      <c r="A150" s="49">
        <f t="shared" si="2"/>
        <v>0</v>
      </c>
      <c r="B150" s="76" t="str">
        <f>IF(ISBLANK(L18),NA(),L18)</f>
        <v>#N/A</v>
      </c>
      <c r="C150" s="49">
        <f>IF(P6="C",D157+(D157-L6),H6)</f>
        <v>12.1</v>
      </c>
      <c r="D150" s="49">
        <f>IF(P6="A",(H6+L6)/2,D157)</f>
        <v>12</v>
      </c>
      <c r="E150" s="49">
        <f>L6</f>
        <v>11.9</v>
      </c>
      <c r="F150" s="49">
        <f>F149+F293</f>
        <v>11.976</v>
      </c>
      <c r="G150" s="49"/>
      <c r="H150" s="49"/>
      <c r="I150" s="49">
        <f>NORMDIST(F150,D157,D158,FALSE)*(F294*10/M293)</f>
        <v>1.096391675</v>
      </c>
      <c r="J150" s="49"/>
      <c r="K150" s="49">
        <f>SUM(L142:L151)</f>
        <v>0</v>
      </c>
      <c r="L150" s="49">
        <v>0.0</v>
      </c>
      <c r="M150" s="49">
        <f>NORMDIST(F150,D157,D158,FALSE)</f>
        <v>1.096391675</v>
      </c>
      <c r="N150" s="77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2.75" customHeight="1">
      <c r="A151" s="49">
        <f t="shared" si="2"/>
        <v>0</v>
      </c>
      <c r="B151" s="76" t="str">
        <f>IF(ISBLANK(M18),NA(),M18)</f>
        <v>#N/A</v>
      </c>
      <c r="C151" s="49">
        <f>IF(P6="C",D157+(D157-L6),H6)</f>
        <v>12.1</v>
      </c>
      <c r="D151" s="49">
        <f>IF(P6="A",(H6+L6)/2,D157)</f>
        <v>12</v>
      </c>
      <c r="E151" s="49">
        <f>L6</f>
        <v>11.9</v>
      </c>
      <c r="F151" s="49">
        <f>F150+F293</f>
        <v>11.978</v>
      </c>
      <c r="G151" s="49"/>
      <c r="H151" s="49"/>
      <c r="I151" s="49">
        <f>NORMDIST(F151,D157,D158,FALSE)*(F294*10/M293)</f>
        <v>1.324902712</v>
      </c>
      <c r="J151" s="49"/>
      <c r="K151" s="49">
        <f>SUM(L142:L151)</f>
        <v>0</v>
      </c>
      <c r="L151" s="49">
        <v>0.0</v>
      </c>
      <c r="M151" s="49">
        <f>NORMDIST(F151,D157,D158,FALSE)</f>
        <v>1.324902712</v>
      </c>
      <c r="N151" s="77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2.75" customHeight="1">
      <c r="A152" s="49"/>
      <c r="B152" s="49"/>
      <c r="C152" s="49"/>
      <c r="D152" s="49"/>
      <c r="E152" s="49"/>
      <c r="F152" s="49">
        <f>F151+F293</f>
        <v>11.98</v>
      </c>
      <c r="G152" s="49">
        <f>IF(J152&gt;K152,J152,K152)</f>
        <v>6</v>
      </c>
      <c r="H152" s="49"/>
      <c r="I152" s="49">
        <f>NORMDIST(F152,D157,D158,FALSE)*(F294*10/M293)</f>
        <v>1.590111716</v>
      </c>
      <c r="J152" s="49">
        <f>SUM(L152:L161)</f>
        <v>6</v>
      </c>
      <c r="K152" s="49">
        <f>SUM(L142:L151)</f>
        <v>0</v>
      </c>
      <c r="L152" s="49">
        <v>2.0</v>
      </c>
      <c r="M152" s="49">
        <f>NORMDIST(F152,D157,D158,FALSE)</f>
        <v>1.590111716</v>
      </c>
      <c r="N152" s="77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2.75" customHeight="1">
      <c r="A153" s="49"/>
      <c r="B153" s="49"/>
      <c r="C153" s="49"/>
      <c r="D153" s="49"/>
      <c r="E153" s="49"/>
      <c r="F153" s="49">
        <f>F152+F293</f>
        <v>11.982</v>
      </c>
      <c r="G153" s="49"/>
      <c r="H153" s="49"/>
      <c r="I153" s="49">
        <f>NORMDIST(F153,D157,D158,FALSE)*(F294*10/M293)</f>
        <v>1.895381661</v>
      </c>
      <c r="J153" s="49">
        <f>SUM(L152:L161)</f>
        <v>6</v>
      </c>
      <c r="K153" s="49"/>
      <c r="L153" s="49">
        <v>0.0</v>
      </c>
      <c r="M153" s="49">
        <f>NORMDIST(F153,D157,D158,FALSE)</f>
        <v>1.895381661</v>
      </c>
      <c r="N153" s="77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2.75" customHeight="1">
      <c r="A154" s="49"/>
      <c r="B154" s="49"/>
      <c r="C154" s="49" t="s">
        <v>57</v>
      </c>
      <c r="D154" s="49"/>
      <c r="E154" s="49"/>
      <c r="F154" s="49">
        <f>F153+F293</f>
        <v>11.984</v>
      </c>
      <c r="G154" s="49"/>
      <c r="H154" s="49"/>
      <c r="I154" s="49">
        <f>NORMDIST(F154,D157,D158,FALSE)*(F294*10/M293)</f>
        <v>2.243835939</v>
      </c>
      <c r="J154" s="49">
        <f>SUM(L152:L161)</f>
        <v>6</v>
      </c>
      <c r="K154" s="49"/>
      <c r="L154" s="49">
        <v>0.0</v>
      </c>
      <c r="M154" s="49">
        <f>NORMDIST(F154,D157,D158,FALSE)</f>
        <v>2.243835939</v>
      </c>
      <c r="N154" s="77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2.75" customHeight="1">
      <c r="A155" s="49"/>
      <c r="B155" s="49" t="s">
        <v>58</v>
      </c>
      <c r="C155" s="49" t="s">
        <v>59</v>
      </c>
      <c r="D155" s="76">
        <f>IF(OR(F294="0",D183="X",D192&gt;0),"-",MIN(D9:M18))</f>
        <v>11.98</v>
      </c>
      <c r="E155" s="49"/>
      <c r="F155" s="49">
        <f>F154+F293</f>
        <v>11.986</v>
      </c>
      <c r="G155" s="49"/>
      <c r="H155" s="49"/>
      <c r="I155" s="49">
        <f>NORMDIST(F155,D157,D158,FALSE)*(F294*10/M293)</f>
        <v>2.638219426</v>
      </c>
      <c r="J155" s="49">
        <f>SUM(L152:L161)</f>
        <v>6</v>
      </c>
      <c r="K155" s="49"/>
      <c r="L155" s="49">
        <v>0.0</v>
      </c>
      <c r="M155" s="49">
        <f>NORMDIST(F155,D157,D158,FALSE)</f>
        <v>2.638219426</v>
      </c>
      <c r="N155" s="77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2.75" customHeight="1">
      <c r="A156" s="49"/>
      <c r="B156" s="49" t="s">
        <v>60</v>
      </c>
      <c r="C156" s="49" t="s">
        <v>59</v>
      </c>
      <c r="D156" s="76">
        <f>IF(OR(F294="0",D183="X",D192&gt;0),"-",MAX(D9:M18))</f>
        <v>12.08</v>
      </c>
      <c r="E156" s="49"/>
      <c r="F156" s="49">
        <f>F155+F293</f>
        <v>11.988</v>
      </c>
      <c r="G156" s="49"/>
      <c r="H156" s="49"/>
      <c r="I156" s="49">
        <f>NORMDIST(F156,D157,D158,FALSE)*(F294*10/M293)</f>
        <v>3.080747583</v>
      </c>
      <c r="J156" s="49">
        <f>SUM(L152:L161)</f>
        <v>6</v>
      </c>
      <c r="K156" s="49"/>
      <c r="L156" s="49">
        <v>0.0</v>
      </c>
      <c r="M156" s="49">
        <f>NORMDIST(F156,D157,D158,FALSE)</f>
        <v>3.080747583</v>
      </c>
      <c r="N156" s="77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2.75" customHeight="1">
      <c r="A157" s="49"/>
      <c r="B157" s="49" t="s">
        <v>61</v>
      </c>
      <c r="C157" s="49" t="s">
        <v>59</v>
      </c>
      <c r="D157" s="76">
        <f>IF(OR(D183="X",F294="0",D192&gt;0),"-",AVERAGE(D9:M18))</f>
        <v>12.03228</v>
      </c>
      <c r="E157" s="49"/>
      <c r="F157" s="49">
        <f>F156+F293</f>
        <v>11.99</v>
      </c>
      <c r="G157" s="49"/>
      <c r="H157" s="49"/>
      <c r="I157" s="49">
        <f>NORMDIST(F157,D157,D158,FALSE)*(F294*10/M293)</f>
        <v>3.572948099</v>
      </c>
      <c r="J157" s="49">
        <f>SUM(L152:L161)</f>
        <v>6</v>
      </c>
      <c r="K157" s="49"/>
      <c r="L157" s="49">
        <v>4.0</v>
      </c>
      <c r="M157" s="49">
        <f>NORMDIST(F157,D157,D158,FALSE)</f>
        <v>3.572948099</v>
      </c>
      <c r="N157" s="77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2.75" customHeight="1">
      <c r="A158" s="49"/>
      <c r="B158" s="49" t="s">
        <v>62</v>
      </c>
      <c r="C158" s="49" t="s">
        <v>59</v>
      </c>
      <c r="D158" s="49">
        <f>IF(OR(D183="X",F294="0",D192&gt;0),"-",STDEV(D9:M18))</f>
        <v>0.02416612573</v>
      </c>
      <c r="E158" s="49"/>
      <c r="F158" s="49">
        <f>F157+F293</f>
        <v>11.992</v>
      </c>
      <c r="G158" s="49"/>
      <c r="H158" s="49"/>
      <c r="I158" s="49">
        <f>NORMDIST(F158,D157,D158,FALSE)*(F294*10/M293)</f>
        <v>4.115500771</v>
      </c>
      <c r="J158" s="49">
        <f>SUM(L152:L161)</f>
        <v>6</v>
      </c>
      <c r="K158" s="49"/>
      <c r="L158" s="49">
        <v>0.0</v>
      </c>
      <c r="M158" s="49">
        <f>NORMDIST(F158,D157,D158,FALSE)</f>
        <v>4.115500771</v>
      </c>
      <c r="N158" s="77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2.75" customHeight="1">
      <c r="A159" s="49"/>
      <c r="B159" s="49" t="s">
        <v>49</v>
      </c>
      <c r="C159" s="49" t="s">
        <v>59</v>
      </c>
      <c r="D159" s="49">
        <f>IF(OR(D183="X",F294="0",D192&gt;0),"-",IF(OR(P6="B",P6="C"),"-",IF(P6="A",(H6-L6)/(6*L20),"")))</f>
        <v>1.37934122</v>
      </c>
      <c r="E159" s="49"/>
      <c r="F159" s="49">
        <f>F158+F293</f>
        <v>11.994</v>
      </c>
      <c r="G159" s="49"/>
      <c r="H159" s="49"/>
      <c r="I159" s="49">
        <f>NORMDIST(F159,D157,D158,FALSE)*(F294*10/M293)</f>
        <v>4.708082406</v>
      </c>
      <c r="J159" s="49">
        <f>SUM(L152:L161)</f>
        <v>6</v>
      </c>
      <c r="K159" s="49"/>
      <c r="L159" s="49">
        <v>0.0</v>
      </c>
      <c r="M159" s="49">
        <f>NORMDIST(F159,D157,D158,FALSE)</f>
        <v>4.708082406</v>
      </c>
      <c r="N159" s="77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2.75" customHeight="1">
      <c r="A160" s="49"/>
      <c r="B160" s="49" t="s">
        <v>52</v>
      </c>
      <c r="C160" s="49" t="s">
        <v>59</v>
      </c>
      <c r="D160" s="49">
        <f>IF(OR(D183="X",F294="0",D192&gt;0),"-",IF(P6="C",(D157-L6)/(3*D158),IF(P6="B",(H6-D157)/(3*D158),IF(AND(P6="A",(H6+L6)/2&lt;D157),(H6-D157)/(3*D158),(D157-L6)/(3*D158)))))</f>
        <v>0.9340898739</v>
      </c>
      <c r="E160" s="49"/>
      <c r="F160" s="49">
        <f>F159+F293</f>
        <v>11.996</v>
      </c>
      <c r="G160" s="49"/>
      <c r="H160" s="49"/>
      <c r="I160" s="49">
        <f>NORMDIST(F160,D157,D158,FALSE)*(F294*10/M293)</f>
        <v>5.349224348</v>
      </c>
      <c r="J160" s="49">
        <f>SUM(L152:L161)</f>
        <v>6</v>
      </c>
      <c r="K160" s="49"/>
      <c r="L160" s="49">
        <v>0.0</v>
      </c>
      <c r="M160" s="49">
        <f>NORMDIST(F160,D157,D158,FALSE)</f>
        <v>5.349224348</v>
      </c>
      <c r="N160" s="77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2.75" customHeight="1">
      <c r="A161" s="49"/>
      <c r="B161" s="49" t="s">
        <v>50</v>
      </c>
      <c r="C161" s="49" t="s">
        <v>59</v>
      </c>
      <c r="D161" s="49">
        <f>IF(P6="C","-",(H6-D157)/(3*D158))</f>
        <v>0.9340898739</v>
      </c>
      <c r="E161" s="49"/>
      <c r="F161" s="49">
        <f>F160+F293</f>
        <v>11.998</v>
      </c>
      <c r="G161" s="49"/>
      <c r="H161" s="78"/>
      <c r="I161" s="49">
        <f>NORMDIST(F161,D157,D158,FALSE)*(F294*10/M293)</f>
        <v>6.036190787</v>
      </c>
      <c r="J161" s="49">
        <f>SUM(L152:L161)</f>
        <v>6</v>
      </c>
      <c r="K161" s="49"/>
      <c r="L161" s="49">
        <v>0.0</v>
      </c>
      <c r="M161" s="49">
        <f>NORMDIST(F161,D157,D158,FALSE)</f>
        <v>6.036190787</v>
      </c>
      <c r="N161" s="77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2.75" customHeight="1">
      <c r="A162" s="49"/>
      <c r="B162" s="49" t="s">
        <v>51</v>
      </c>
      <c r="C162" s="49" t="s">
        <v>59</v>
      </c>
      <c r="D162" s="49">
        <f>IF(P6="B","-",(D157-L6)/(3*D158))</f>
        <v>1.824592565</v>
      </c>
      <c r="E162" s="49"/>
      <c r="F162" s="49">
        <f>F161+F293</f>
        <v>12</v>
      </c>
      <c r="G162" s="49">
        <f>IF(J162&gt;K162,J162,K162)</f>
        <v>6</v>
      </c>
      <c r="H162" s="78">
        <f>IF(OR(G293=0,I293=0),0,IF(G293&gt;I293,ROUND(G293*1.4,0),ROUND(I293*1.4,0)))</f>
        <v>25</v>
      </c>
      <c r="I162" s="49">
        <f>NORMDIST(F162,D157,D158,FALSE)*(F294*10/M293)</f>
        <v>6.764886154</v>
      </c>
      <c r="J162" s="49">
        <f>SUM(L152:L161)</f>
        <v>6</v>
      </c>
      <c r="K162" s="49">
        <f>SUM(L162:L171)</f>
        <v>4</v>
      </c>
      <c r="L162" s="49">
        <v>0.0</v>
      </c>
      <c r="M162" s="49">
        <f>NORMDIST(F162,D157,D158,FALSE)</f>
        <v>6.764886154</v>
      </c>
      <c r="N162" s="77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2.75" customHeight="1">
      <c r="A163" s="49"/>
      <c r="B163" s="49" t="s">
        <v>63</v>
      </c>
      <c r="C163" s="49" t="s">
        <v>59</v>
      </c>
      <c r="D163" s="49">
        <f>(1-NORMDIST(H6,I20,L20,TRUE))*1000000</f>
        <v>2537.222228</v>
      </c>
      <c r="E163" s="49"/>
      <c r="F163" s="49">
        <f>F162+F293</f>
        <v>12.002</v>
      </c>
      <c r="G163" s="49"/>
      <c r="H163" s="49"/>
      <c r="I163" s="49">
        <f>NORMDIST(F163,D157,D158,FALSE)*(F294*10/M293)</f>
        <v>7.529799548</v>
      </c>
      <c r="J163" s="49"/>
      <c r="K163" s="49">
        <f>SUM(L162:L171)</f>
        <v>4</v>
      </c>
      <c r="L163" s="49">
        <v>0.0</v>
      </c>
      <c r="M163" s="49">
        <f>NORMDIST(F163,D157,D158,FALSE)</f>
        <v>7.529799548</v>
      </c>
      <c r="N163" s="77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2.75" customHeight="1">
      <c r="A164" s="49"/>
      <c r="B164" s="49" t="s">
        <v>64</v>
      </c>
      <c r="C164" s="49" t="s">
        <v>59</v>
      </c>
      <c r="D164" s="49">
        <f>NORMDIST(L6,I20,L20,TRUE)*1000000</f>
        <v>0.02202708338</v>
      </c>
      <c r="E164" s="49"/>
      <c r="F164" s="49">
        <f>F163+F293</f>
        <v>12.004</v>
      </c>
      <c r="G164" s="49"/>
      <c r="H164" s="49"/>
      <c r="I164" s="49">
        <f>NORMDIST(F164,D157,D158,FALSE)*(F294*10/M293)</f>
        <v>8.32399338</v>
      </c>
      <c r="J164" s="49"/>
      <c r="K164" s="49">
        <f>SUM(L162:L171)</f>
        <v>4</v>
      </c>
      <c r="L164" s="49">
        <v>0.0</v>
      </c>
      <c r="M164" s="49">
        <f>NORMDIST(F164,D157,D158,FALSE)</f>
        <v>8.32399338</v>
      </c>
      <c r="N164" s="77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2.75" customHeight="1">
      <c r="A165" s="49"/>
      <c r="B165" s="49" t="s">
        <v>65</v>
      </c>
      <c r="C165" s="49" t="s">
        <v>59</v>
      </c>
      <c r="D165" s="49">
        <f>+IF(P6="A",D164+D163,IF(P6="B",D163,IF(P6="C",D164,"-")))</f>
        <v>2537.244255</v>
      </c>
      <c r="E165" s="49"/>
      <c r="F165" s="49">
        <f>F164+F293</f>
        <v>12.006</v>
      </c>
      <c r="G165" s="49"/>
      <c r="H165" s="49"/>
      <c r="I165" s="49">
        <f>NORMDIST(F165,D157,D158,FALSE)*(F294*10/M293)</f>
        <v>9.139142015</v>
      </c>
      <c r="J165" s="49"/>
      <c r="K165" s="49">
        <f>SUM(L162:L171)</f>
        <v>4</v>
      </c>
      <c r="L165" s="49">
        <v>0.0</v>
      </c>
      <c r="M165" s="49">
        <f>NORMDIST(F165,D157,D158,FALSE)</f>
        <v>9.139142015</v>
      </c>
      <c r="N165" s="77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2.75" customHeight="1">
      <c r="A166" s="49"/>
      <c r="B166" s="49" t="s">
        <v>66</v>
      </c>
      <c r="C166" s="49"/>
      <c r="D166" s="77">
        <f>IF(OR(D183="X",F294="0"),"-",AVERAGE(D9:M18))</f>
        <v>12.03228</v>
      </c>
      <c r="E166" s="49"/>
      <c r="F166" s="49">
        <f>F165+F293</f>
        <v>12.008</v>
      </c>
      <c r="G166" s="49"/>
      <c r="H166" s="49"/>
      <c r="I166" s="49">
        <f>NORMDIST(F166,D157,D158,FALSE)*(F294*10/M293)</f>
        <v>9.96562439</v>
      </c>
      <c r="J166" s="49"/>
      <c r="K166" s="49">
        <f>SUM(L162:L171)</f>
        <v>4</v>
      </c>
      <c r="L166" s="49">
        <v>0.0</v>
      </c>
      <c r="M166" s="49">
        <f>NORMDIST(F166,D157,D158,FALSE)</f>
        <v>9.96562439</v>
      </c>
      <c r="N166" s="77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2.75" customHeight="1">
      <c r="A167" s="49"/>
      <c r="B167" s="49" t="s">
        <v>67</v>
      </c>
      <c r="C167" s="49"/>
      <c r="D167" s="78">
        <f>IF(OR(G293=0,I293=0),0,IF(G293&gt;I293,ROUND(G293*1.4,0),ROUND(I293*1.4,0)))</f>
        <v>25</v>
      </c>
      <c r="E167" s="49"/>
      <c r="F167" s="49">
        <f>F166+F293</f>
        <v>12.01</v>
      </c>
      <c r="G167" s="49"/>
      <c r="H167" s="49"/>
      <c r="I167" s="49">
        <f>NORMDIST(F167,D157,D158,FALSE)*(F294*10/M293)</f>
        <v>10.79267232</v>
      </c>
      <c r="J167" s="49"/>
      <c r="K167" s="49">
        <f>SUM(L162:L171)</f>
        <v>4</v>
      </c>
      <c r="L167" s="49">
        <v>4.0</v>
      </c>
      <c r="M167" s="49">
        <f>NORMDIST(F167,D157,D158,FALSE)</f>
        <v>10.79267232</v>
      </c>
      <c r="N167" s="77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2.75" customHeight="1">
      <c r="A168" s="49"/>
      <c r="B168" s="49" t="s">
        <v>68</v>
      </c>
      <c r="C168" s="49"/>
      <c r="D168" s="78">
        <f>LEN(D167)</f>
        <v>3</v>
      </c>
      <c r="E168" s="49"/>
      <c r="F168" s="49">
        <f>F167+F293</f>
        <v>12.012</v>
      </c>
      <c r="G168" s="49"/>
      <c r="H168" s="49"/>
      <c r="I168" s="49">
        <f>NORMDIST(F168,D157,D158,FALSE)*(F294*10/M293)</f>
        <v>11.60857354</v>
      </c>
      <c r="J168" s="49"/>
      <c r="K168" s="49">
        <f>SUM(L162:L171)</f>
        <v>4</v>
      </c>
      <c r="L168" s="49">
        <v>0.0</v>
      </c>
      <c r="M168" s="49">
        <f>NORMDIST(F168,D157,D158,FALSE)</f>
        <v>11.60857354</v>
      </c>
      <c r="N168" s="77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2.75" customHeight="1">
      <c r="A169" s="49"/>
      <c r="B169" s="49"/>
      <c r="C169" s="49" t="s">
        <v>69</v>
      </c>
      <c r="D169" s="49"/>
      <c r="E169" s="49"/>
      <c r="F169" s="49">
        <f>F168+F293</f>
        <v>12.014</v>
      </c>
      <c r="G169" s="49"/>
      <c r="H169" s="49"/>
      <c r="I169" s="49">
        <f>NORMDIST(F169,D157,D158,FALSE)*(F294*10/M293)</f>
        <v>12.40092586</v>
      </c>
      <c r="J169" s="49"/>
      <c r="K169" s="49">
        <f>SUM(L162:L171)</f>
        <v>4</v>
      </c>
      <c r="L169" s="49">
        <v>0.0</v>
      </c>
      <c r="M169" s="49">
        <f>NORMDIST(F169,D157,D158,FALSE)</f>
        <v>12.40092586</v>
      </c>
      <c r="N169" s="77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2.75" customHeight="1">
      <c r="A170" s="49"/>
      <c r="B170" s="49" t="s">
        <v>70</v>
      </c>
      <c r="C170" s="49" t="s">
        <v>59</v>
      </c>
      <c r="D170" s="49" t="str">
        <f>D4</f>
        <v>주조반</v>
      </c>
      <c r="E170" s="49"/>
      <c r="F170" s="49">
        <f>F169+F293</f>
        <v>12.016</v>
      </c>
      <c r="G170" s="49"/>
      <c r="H170" s="49"/>
      <c r="I170" s="49">
        <f>NORMDIST(F170,D157,D158,FALSE)*(F294*10/M293)</f>
        <v>13.15693574</v>
      </c>
      <c r="J170" s="49"/>
      <c r="K170" s="49">
        <f>SUM(L162:L171)</f>
        <v>4</v>
      </c>
      <c r="L170" s="49">
        <v>0.0</v>
      </c>
      <c r="M170" s="49">
        <f>NORMDIST(F170,D157,D158,FALSE)</f>
        <v>13.15693574</v>
      </c>
      <c r="N170" s="77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2.75" customHeight="1">
      <c r="A171" s="49"/>
      <c r="B171" s="49" t="s">
        <v>71</v>
      </c>
      <c r="C171" s="49" t="s">
        <v>59</v>
      </c>
      <c r="D171" s="49" t="str">
        <f>H4</f>
        <v>주조</v>
      </c>
      <c r="E171" s="49"/>
      <c r="F171" s="49">
        <f>F170+F293</f>
        <v>12.018</v>
      </c>
      <c r="G171" s="49"/>
      <c r="H171" s="49"/>
      <c r="I171" s="49">
        <f>NORMDIST(F171,D157,D158,FALSE)*(F294*10/M293)</f>
        <v>13.86375213</v>
      </c>
      <c r="J171" s="49"/>
      <c r="K171" s="49">
        <f>SUM(L162:L171)</f>
        <v>4</v>
      </c>
      <c r="L171" s="49">
        <v>0.0</v>
      </c>
      <c r="M171" s="49">
        <f>NORMDIST(F171,D157,D158,FALSE)</f>
        <v>13.86375213</v>
      </c>
      <c r="N171" s="77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2.75" customHeight="1">
      <c r="A172" s="49"/>
      <c r="B172" s="49" t="s">
        <v>72</v>
      </c>
      <c r="C172" s="49" t="s">
        <v>59</v>
      </c>
      <c r="D172" s="49" t="str">
        <f>N4</f>
        <v>BLOCK (100276)</v>
      </c>
      <c r="E172" s="49"/>
      <c r="F172" s="49">
        <f>F171+F293</f>
        <v>12.02</v>
      </c>
      <c r="G172" s="49">
        <f>IF(J172&gt;K172,J172,K172)</f>
        <v>13</v>
      </c>
      <c r="H172" s="49"/>
      <c r="I172" s="49">
        <f>NORMDIST(F172,D157,D158,FALSE)*(F294*10/M293)</f>
        <v>14.50882374</v>
      </c>
      <c r="J172" s="49">
        <f>SUM(L172:L181)</f>
        <v>13</v>
      </c>
      <c r="K172" s="49">
        <f>SUM(L162:L171)</f>
        <v>4</v>
      </c>
      <c r="L172" s="49">
        <v>11.0</v>
      </c>
      <c r="M172" s="49">
        <f>NORMDIST(F172,D157,D158,FALSE)</f>
        <v>14.50882374</v>
      </c>
      <c r="N172" s="77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2.75" customHeight="1">
      <c r="A173" s="49"/>
      <c r="B173" s="49" t="s">
        <v>73</v>
      </c>
      <c r="C173" s="49" t="s">
        <v>59</v>
      </c>
      <c r="D173" s="49" t="str">
        <f>E5</f>
        <v/>
      </c>
      <c r="E173" s="49"/>
      <c r="F173" s="49">
        <f>F172+F293</f>
        <v>12.022</v>
      </c>
      <c r="G173" s="49"/>
      <c r="H173" s="49"/>
      <c r="I173" s="49">
        <f>NORMDIST(F173,D157,D158,FALSE)*(F294*10/M293)</f>
        <v>15.08026639</v>
      </c>
      <c r="J173" s="49">
        <f>SUM(L172:L181)</f>
        <v>13</v>
      </c>
      <c r="K173" s="49"/>
      <c r="L173" s="49">
        <v>0.0</v>
      </c>
      <c r="M173" s="49">
        <f>NORMDIST(F173,D157,D158,FALSE)</f>
        <v>15.08026639</v>
      </c>
      <c r="N173" s="77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2.75" customHeight="1">
      <c r="A174" s="49"/>
      <c r="B174" s="49" t="s">
        <v>74</v>
      </c>
      <c r="C174" s="49" t="s">
        <v>59</v>
      </c>
      <c r="D174" s="49">
        <f>D6</f>
        <v>12</v>
      </c>
      <c r="E174" s="49"/>
      <c r="F174" s="49">
        <f>F173+F293</f>
        <v>12.024</v>
      </c>
      <c r="G174" s="49"/>
      <c r="H174" s="49"/>
      <c r="I174" s="49">
        <f>NORMDIST(F174,D157,D158,FALSE)*(F294*10/M293)</f>
        <v>15.56722528</v>
      </c>
      <c r="J174" s="49">
        <f>SUM(L172:L181)</f>
        <v>13</v>
      </c>
      <c r="K174" s="49"/>
      <c r="L174" s="49">
        <v>0.0</v>
      </c>
      <c r="M174" s="49">
        <f>NORMDIST(F174,D157,D158,FALSE)</f>
        <v>15.56722528</v>
      </c>
      <c r="N174" s="77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2.75" customHeight="1">
      <c r="A175" s="49"/>
      <c r="B175" s="49" t="s">
        <v>75</v>
      </c>
      <c r="C175" s="49" t="s">
        <v>59</v>
      </c>
      <c r="D175" s="49" t="str">
        <f>K5</f>
        <v>Vernier Calipers</v>
      </c>
      <c r="E175" s="49"/>
      <c r="F175" s="49">
        <f>F174+F293</f>
        <v>12.026</v>
      </c>
      <c r="G175" s="49"/>
      <c r="H175" s="49"/>
      <c r="I175" s="49">
        <f>NORMDIST(F175,D157,D158,FALSE)*(F294*10/M293)</f>
        <v>15.96021715</v>
      </c>
      <c r="J175" s="49">
        <f>SUM(L172:L181)</f>
        <v>13</v>
      </c>
      <c r="K175" s="49"/>
      <c r="L175" s="49">
        <v>0.0</v>
      </c>
      <c r="M175" s="49">
        <f>NORMDIST(F175,D157,D158,FALSE)</f>
        <v>15.96021715</v>
      </c>
      <c r="N175" s="77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2.75" customHeight="1">
      <c r="A176" s="49"/>
      <c r="B176" s="49" t="s">
        <v>76</v>
      </c>
      <c r="C176" s="49" t="s">
        <v>59</v>
      </c>
      <c r="D176" s="49">
        <f>H6</f>
        <v>12.1</v>
      </c>
      <c r="E176" s="49"/>
      <c r="F176" s="49">
        <f>F175+F293</f>
        <v>12.028</v>
      </c>
      <c r="G176" s="49"/>
      <c r="H176" s="49"/>
      <c r="I176" s="49">
        <f>NORMDIST(F176,D157,D158,FALSE)*(F294*10/M293)</f>
        <v>16.25143705</v>
      </c>
      <c r="J176" s="49">
        <f>SUM(L172:L181)</f>
        <v>13</v>
      </c>
      <c r="K176" s="49"/>
      <c r="L176" s="49">
        <v>0.0</v>
      </c>
      <c r="M176" s="49">
        <f>NORMDIST(F176,D157,D158,FALSE)</f>
        <v>16.25143705</v>
      </c>
      <c r="N176" s="77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2.75" customHeight="1">
      <c r="A177" s="49"/>
      <c r="B177" s="49" t="s">
        <v>77</v>
      </c>
      <c r="C177" s="49" t="s">
        <v>59</v>
      </c>
      <c r="D177" s="49">
        <f>L6</f>
        <v>11.9</v>
      </c>
      <c r="E177" s="49"/>
      <c r="F177" s="49">
        <f>F176+F293</f>
        <v>12.03</v>
      </c>
      <c r="G177" s="49"/>
      <c r="H177" s="49"/>
      <c r="I177" s="49">
        <f>NORMDIST(F177,D157,D158,FALSE)*(F294*10/M293)</f>
        <v>16.43501606</v>
      </c>
      <c r="J177" s="49">
        <f>SUM(L172:L181)</f>
        <v>13</v>
      </c>
      <c r="K177" s="49"/>
      <c r="L177" s="49">
        <v>2.0</v>
      </c>
      <c r="M177" s="49">
        <f>NORMDIST(F177,D157,D158,FALSE)</f>
        <v>16.43501606</v>
      </c>
      <c r="N177" s="77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2.75" customHeight="1">
      <c r="A178" s="49"/>
      <c r="B178" s="49" t="s">
        <v>78</v>
      </c>
      <c r="C178" s="49" t="s">
        <v>59</v>
      </c>
      <c r="D178" s="49" t="str">
        <f>P6</f>
        <v>A</v>
      </c>
      <c r="E178" s="49"/>
      <c r="F178" s="49">
        <f>F177+F293</f>
        <v>12.032</v>
      </c>
      <c r="G178" s="49"/>
      <c r="H178" s="49"/>
      <c r="I178" s="49">
        <f>NORMDIST(F178,D157,D158,FALSE)*(F294*10/M293)</f>
        <v>16.5072179</v>
      </c>
      <c r="J178" s="49">
        <f>SUM(L172:L181)</f>
        <v>13</v>
      </c>
      <c r="K178" s="49"/>
      <c r="L178" s="49">
        <v>0.0</v>
      </c>
      <c r="M178" s="49">
        <f>NORMDIST(F178,D157,D158,FALSE)</f>
        <v>16.5072179</v>
      </c>
      <c r="N178" s="77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2.75" customHeight="1">
      <c r="A179" s="49"/>
      <c r="B179" s="49" t="s">
        <v>79</v>
      </c>
      <c r="C179" s="49" t="s">
        <v>59</v>
      </c>
      <c r="D179" s="49" t="str">
        <f>P5</f>
        <v>0.01mm</v>
      </c>
      <c r="E179" s="49"/>
      <c r="F179" s="49">
        <f>F178+F293</f>
        <v>12.034</v>
      </c>
      <c r="G179" s="49"/>
      <c r="H179" s="49"/>
      <c r="I179" s="49">
        <f>NORMDIST(F179,D157,D158,FALSE)*(F294*10/M293)</f>
        <v>16.46656542</v>
      </c>
      <c r="J179" s="49">
        <f>SUM(L172:L181)</f>
        <v>13</v>
      </c>
      <c r="K179" s="49"/>
      <c r="L179" s="49">
        <v>0.0</v>
      </c>
      <c r="M179" s="49">
        <f>NORMDIST(F179,D157,D158,FALSE)</f>
        <v>16.46656542</v>
      </c>
      <c r="N179" s="77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2.75" customHeight="1">
      <c r="A180" s="49"/>
      <c r="B180" s="49" t="s">
        <v>80</v>
      </c>
      <c r="C180" s="49" t="s">
        <v>59</v>
      </c>
      <c r="D180" s="49" t="str">
        <f t="shared" ref="D180:D181" si="3">P2</f>
        <v/>
      </c>
      <c r="E180" s="49"/>
      <c r="F180" s="49">
        <f>F179+F293</f>
        <v>12.036</v>
      </c>
      <c r="G180" s="49"/>
      <c r="H180" s="49"/>
      <c r="I180" s="49">
        <f>NORMDIST(F180,D157,D158,FALSE)*(F294*10/M293)</f>
        <v>16.31389085</v>
      </c>
      <c r="J180" s="49">
        <f>SUM(L172:L181)</f>
        <v>13</v>
      </c>
      <c r="K180" s="49"/>
      <c r="L180" s="49">
        <v>0.0</v>
      </c>
      <c r="M180" s="49">
        <f>NORMDIST(F180,D157,D158,FALSE)</f>
        <v>16.31389085</v>
      </c>
      <c r="N180" s="77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2.75" customHeight="1">
      <c r="A181" s="49"/>
      <c r="B181" s="49" t="s">
        <v>81</v>
      </c>
      <c r="C181" s="49" t="s">
        <v>59</v>
      </c>
      <c r="D181" s="79" t="str">
        <f t="shared" si="3"/>
        <v>2008. 02. 20.</v>
      </c>
      <c r="E181" s="49"/>
      <c r="F181" s="49">
        <f>F180+F293</f>
        <v>12.038</v>
      </c>
      <c r="G181" s="49"/>
      <c r="H181" s="49"/>
      <c r="I181" s="49">
        <f>NORMDIST(F181,D157,D158,FALSE)*(F294*10/M293)</f>
        <v>16.05230746</v>
      </c>
      <c r="J181" s="49">
        <f>SUM(L172:L181)</f>
        <v>13</v>
      </c>
      <c r="K181" s="49"/>
      <c r="L181" s="49">
        <v>0.0</v>
      </c>
      <c r="M181" s="49">
        <f>NORMDIST(F181,D157,D158,FALSE)</f>
        <v>16.05230746</v>
      </c>
      <c r="N181" s="77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2.75" customHeight="1">
      <c r="A182" s="49"/>
      <c r="B182" s="49" t="s">
        <v>82</v>
      </c>
      <c r="C182" s="49"/>
      <c r="D182" s="49" t="str">
        <f>IF(D176=0,"KK","LL")</f>
        <v>LL</v>
      </c>
      <c r="E182" s="49"/>
      <c r="F182" s="49">
        <f>F181+F293</f>
        <v>12.04</v>
      </c>
      <c r="G182" s="49">
        <f>IF(J182&gt;K182,J182,K182)</f>
        <v>18</v>
      </c>
      <c r="H182" s="49"/>
      <c r="I182" s="49">
        <f>NORMDIST(F182,D157,D158,FALSE)*(F294*10/M293)</f>
        <v>15.68710397</v>
      </c>
      <c r="J182" s="49">
        <f>SUM(L172:L181)</f>
        <v>13</v>
      </c>
      <c r="K182" s="49">
        <f>SUM(L182:L191)</f>
        <v>18</v>
      </c>
      <c r="L182" s="49">
        <v>10.0</v>
      </c>
      <c r="M182" s="49">
        <f>NORMDIST(F182,D157,D158,FALSE)</f>
        <v>15.68710397</v>
      </c>
      <c r="N182" s="77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2.75" customHeight="1">
      <c r="A183" s="49"/>
      <c r="B183" s="49" t="s">
        <v>83</v>
      </c>
      <c r="C183" s="49"/>
      <c r="D183" s="49" t="str">
        <f>IF(SUM(A52:A151)&gt;0,"X","O")</f>
        <v>O</v>
      </c>
      <c r="E183" s="49"/>
      <c r="F183" s="49">
        <f>F182+F293</f>
        <v>12.042</v>
      </c>
      <c r="G183" s="49"/>
      <c r="H183" s="49"/>
      <c r="I183" s="49">
        <f>NORMDIST(F183,D157,D158,FALSE)*(F294*10/M293)</f>
        <v>15.22556681</v>
      </c>
      <c r="J183" s="49"/>
      <c r="K183" s="49">
        <f>SUM(L182:L191)</f>
        <v>18</v>
      </c>
      <c r="L183" s="49">
        <v>0.0</v>
      </c>
      <c r="M183" s="49">
        <f>NORMDIST(F183,D157,D158,FALSE)</f>
        <v>15.22556681</v>
      </c>
      <c r="N183" s="77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2.75" customHeight="1">
      <c r="A184" s="49"/>
      <c r="B184" s="49"/>
      <c r="C184" s="49"/>
      <c r="D184" s="49"/>
      <c r="E184" s="49"/>
      <c r="F184" s="49">
        <f>F183+F293</f>
        <v>12.044</v>
      </c>
      <c r="G184" s="49"/>
      <c r="H184" s="49"/>
      <c r="I184" s="49">
        <f>NORMDIST(F184,D157,D158,FALSE)*(F294*10/M293)</f>
        <v>14.67673835</v>
      </c>
      <c r="J184" s="49"/>
      <c r="K184" s="49">
        <f>SUM(L182:L191)</f>
        <v>18</v>
      </c>
      <c r="L184" s="49">
        <v>0.0</v>
      </c>
      <c r="M184" s="49">
        <f>NORMDIST(F184,D157,D158,FALSE)</f>
        <v>14.67673835</v>
      </c>
      <c r="N184" s="77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2.75" customHeight="1">
      <c r="A185" s="49"/>
      <c r="B185" s="49"/>
      <c r="C185" s="49"/>
      <c r="D185" s="49"/>
      <c r="E185" s="49"/>
      <c r="F185" s="49">
        <f>F184+F293</f>
        <v>12.046</v>
      </c>
      <c r="G185" s="49"/>
      <c r="H185" s="49"/>
      <c r="I185" s="49">
        <f>NORMDIST(F185,D157,D158,FALSE)*(F294*10/M293)</f>
        <v>14.05112261</v>
      </c>
      <c r="J185" s="49"/>
      <c r="K185" s="49">
        <f>SUM(L182:L191)</f>
        <v>18</v>
      </c>
      <c r="L185" s="49">
        <v>0.0</v>
      </c>
      <c r="M185" s="49">
        <f>NORMDIST(F185,D157,D158,FALSE)</f>
        <v>14.05112261</v>
      </c>
      <c r="N185" s="77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2.75" customHeight="1">
      <c r="A186" s="49"/>
      <c r="B186" s="49"/>
      <c r="C186" s="49"/>
      <c r="D186" s="49"/>
      <c r="E186" s="49"/>
      <c r="F186" s="49">
        <f>F185+F293</f>
        <v>12.048</v>
      </c>
      <c r="G186" s="49"/>
      <c r="H186" s="49"/>
      <c r="I186" s="49">
        <f>NORMDIST(F186,D157,D158,FALSE)*(F294*10/M293)</f>
        <v>13.36035147</v>
      </c>
      <c r="J186" s="49"/>
      <c r="K186" s="49">
        <f>SUM(L182:L191)</f>
        <v>18</v>
      </c>
      <c r="L186" s="49">
        <v>0.0</v>
      </c>
      <c r="M186" s="49">
        <f>NORMDIST(F186,D157,D158,FALSE)</f>
        <v>13.36035147</v>
      </c>
      <c r="N186" s="77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2.75" customHeight="1">
      <c r="A187" s="49"/>
      <c r="B187" s="49" t="s">
        <v>84</v>
      </c>
      <c r="C187" s="49"/>
      <c r="D187" s="49">
        <f>IF(AND(P6="A",H6&gt;L6),0,IF(AND(P6="B",OR(L6=0,L6="")),0,IF(AND(P6="C",OR(H6=0,H6="∞",H6="")),0,1)))</f>
        <v>0</v>
      </c>
      <c r="E187" s="49"/>
      <c r="F187" s="49">
        <f>F186+F293</f>
        <v>12.05</v>
      </c>
      <c r="G187" s="49"/>
      <c r="H187" s="49"/>
      <c r="I187" s="49">
        <f>NORMDIST(F187,D157,D158,FALSE)*(F294*10/M293)</f>
        <v>12.61682652</v>
      </c>
      <c r="J187" s="49"/>
      <c r="K187" s="49">
        <f>SUM(L182:L191)</f>
        <v>18</v>
      </c>
      <c r="L187" s="49">
        <v>7.0</v>
      </c>
      <c r="M187" s="49">
        <f>NORMDIST(F187,D157,D158,FALSE)</f>
        <v>12.61682652</v>
      </c>
      <c r="N187" s="77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2.75" customHeight="1">
      <c r="A188" s="49"/>
      <c r="B188" s="49" t="s">
        <v>85</v>
      </c>
      <c r="C188" s="49"/>
      <c r="D188" s="49">
        <f>IF(OR(P6="A",P6="B",P6="C"),0,1)</f>
        <v>0</v>
      </c>
      <c r="E188" s="49"/>
      <c r="F188" s="49">
        <f>F187+F293</f>
        <v>12.052</v>
      </c>
      <c r="G188" s="49"/>
      <c r="H188" s="49"/>
      <c r="I188" s="49">
        <f>NORMDIST(F188,D157,D158,FALSE)*(F294*10/M293)</f>
        <v>11.8333516</v>
      </c>
      <c r="J188" s="49"/>
      <c r="K188" s="49">
        <f>SUM(L182:L191)</f>
        <v>18</v>
      </c>
      <c r="L188" s="49">
        <v>0.0</v>
      </c>
      <c r="M188" s="49">
        <f>NORMDIST(F188,D157,D158,FALSE)</f>
        <v>11.8333516</v>
      </c>
      <c r="N188" s="77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2.75" customHeight="1">
      <c r="A189" s="49"/>
      <c r="B189" s="49" t="s">
        <v>86</v>
      </c>
      <c r="C189" s="49"/>
      <c r="D189" s="49">
        <f>IF(OR(ISNUMBER(H6),AND(H6="∞",P6="C"),AND(P6="C",H6=""),AND(P6="C",H6=0)),0,1)</f>
        <v>0</v>
      </c>
      <c r="E189" s="49"/>
      <c r="F189" s="49">
        <f>F188+F293</f>
        <v>12.054</v>
      </c>
      <c r="G189" s="49"/>
      <c r="H189" s="49"/>
      <c r="I189" s="49">
        <f>NORMDIST(F189,D157,D158,FALSE)*(F294*10/M293)</f>
        <v>11.02277124</v>
      </c>
      <c r="J189" s="49"/>
      <c r="K189" s="49">
        <f>SUM(L182:L191)</f>
        <v>18</v>
      </c>
      <c r="L189" s="49">
        <v>1.0</v>
      </c>
      <c r="M189" s="49">
        <f>NORMDIST(F189,D157,D158,FALSE)</f>
        <v>11.02277124</v>
      </c>
      <c r="N189" s="77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2.75" customHeight="1">
      <c r="A190" s="49"/>
      <c r="B190" s="49" t="s">
        <v>87</v>
      </c>
      <c r="C190" s="49"/>
      <c r="D190" s="49">
        <f>IF(OR(ISNUMBER(L6),AND(P6="B",L6=0),AND(P6="B",L6="")),0,1)</f>
        <v>0</v>
      </c>
      <c r="E190" s="49"/>
      <c r="F190" s="49">
        <f>F189+F293</f>
        <v>12.056</v>
      </c>
      <c r="G190" s="49"/>
      <c r="H190" s="49"/>
      <c r="I190" s="49">
        <f>NORMDIST(F190,D157,D158,FALSE)*(F294*10/M293)</f>
        <v>10.19762902</v>
      </c>
      <c r="J190" s="49"/>
      <c r="K190" s="49">
        <f>SUM(L182:L191)</f>
        <v>18</v>
      </c>
      <c r="L190" s="49">
        <v>0.0</v>
      </c>
      <c r="M190" s="49">
        <f>NORMDIST(F190,D157,D158,FALSE)</f>
        <v>10.19762902</v>
      </c>
      <c r="N190" s="77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2.75" customHeight="1">
      <c r="A191" s="49"/>
      <c r="B191" s="49" t="s">
        <v>88</v>
      </c>
      <c r="C191" s="49"/>
      <c r="D191" s="49"/>
      <c r="E191" s="49"/>
      <c r="F191" s="49">
        <f>F190+F293</f>
        <v>12.058</v>
      </c>
      <c r="G191" s="49"/>
      <c r="H191" s="49"/>
      <c r="I191" s="49">
        <f>NORMDIST(F191,D157,D158,FALSE)*(F294*10/M293)</f>
        <v>9.36985805</v>
      </c>
      <c r="J191" s="49"/>
      <c r="K191" s="49">
        <f>SUM(L182:L191)</f>
        <v>18</v>
      </c>
      <c r="L191" s="49">
        <v>0.0</v>
      </c>
      <c r="M191" s="49">
        <f>NORMDIST(F191,D157,D158,FALSE)</f>
        <v>9.36985805</v>
      </c>
      <c r="N191" s="77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2.75" customHeight="1">
      <c r="A192" s="49"/>
      <c r="B192" s="49" t="s">
        <v>89</v>
      </c>
      <c r="C192" s="49"/>
      <c r="D192" s="49">
        <f>SUM(D187:D191)</f>
        <v>0</v>
      </c>
      <c r="E192" s="49"/>
      <c r="F192" s="49">
        <f>F191+F293</f>
        <v>12.06</v>
      </c>
      <c r="G192" s="49">
        <f>IF(J192&gt;K192,J192,K192)</f>
        <v>18</v>
      </c>
      <c r="H192" s="49"/>
      <c r="I192" s="49">
        <f>NORMDIST(F192,D157,D158,FALSE)*(F294*10/M293)</f>
        <v>8.550513617</v>
      </c>
      <c r="J192" s="49">
        <f>SUM(L192:L201)</f>
        <v>8</v>
      </c>
      <c r="K192" s="49">
        <f>SUM(L182:L191)</f>
        <v>18</v>
      </c>
      <c r="L192" s="49">
        <v>7.0</v>
      </c>
      <c r="M192" s="49">
        <f>NORMDIST(F192,D157,D158,FALSE)</f>
        <v>8.550513617</v>
      </c>
      <c r="N192" s="77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2.75" customHeight="1">
      <c r="A193" s="49"/>
      <c r="B193" s="49" t="s">
        <v>90</v>
      </c>
      <c r="C193" s="49"/>
      <c r="D193" s="49">
        <f>SUM(D188:D190)</f>
        <v>0</v>
      </c>
      <c r="E193" s="49"/>
      <c r="F193" s="49">
        <f>F192+F293</f>
        <v>12.062</v>
      </c>
      <c r="G193" s="49"/>
      <c r="H193" s="49"/>
      <c r="I193" s="49">
        <f>NORMDIST(F193,D157,D158,FALSE)*(F294*10/M293)</f>
        <v>7.749555321</v>
      </c>
      <c r="J193" s="49">
        <f>SUM(L192:L201)</f>
        <v>8</v>
      </c>
      <c r="K193" s="49"/>
      <c r="L193" s="49">
        <v>0.0</v>
      </c>
      <c r="M193" s="49">
        <f>NORMDIST(F193,D157,D158,FALSE)</f>
        <v>7.749555321</v>
      </c>
      <c r="N193" s="77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2.75" customHeight="1">
      <c r="A194" s="49"/>
      <c r="B194" s="49"/>
      <c r="C194" s="49"/>
      <c r="D194" s="49"/>
      <c r="E194" s="49"/>
      <c r="F194" s="49">
        <f>F193+F293</f>
        <v>12.064</v>
      </c>
      <c r="G194" s="49"/>
      <c r="H194" s="49"/>
      <c r="I194" s="49">
        <f>NORMDIST(F194,D157,D158,FALSE)*(F294*10/M293)</f>
        <v>6.97568324</v>
      </c>
      <c r="J194" s="49">
        <f>SUM(L192:L201)</f>
        <v>8</v>
      </c>
      <c r="K194" s="49"/>
      <c r="L194" s="49">
        <v>0.0</v>
      </c>
      <c r="M194" s="49">
        <f>NORMDIST(F194,D157,D158,FALSE)</f>
        <v>6.97568324</v>
      </c>
      <c r="N194" s="77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2.75" customHeight="1">
      <c r="A195" s="49"/>
      <c r="B195" s="49" t="s">
        <v>91</v>
      </c>
      <c r="C195" s="49"/>
      <c r="D195" s="49"/>
      <c r="E195" s="49"/>
      <c r="F195" s="49">
        <f>F194+F293</f>
        <v>12.066</v>
      </c>
      <c r="G195" s="49"/>
      <c r="H195" s="49"/>
      <c r="I195" s="49">
        <f>NORMDIST(F195,D157,D158,FALSE)*(F294*10/M293)</f>
        <v>6.236229776</v>
      </c>
      <c r="J195" s="49">
        <f>SUM(L192:L201)</f>
        <v>8</v>
      </c>
      <c r="K195" s="49"/>
      <c r="L195" s="49">
        <v>0.0</v>
      </c>
      <c r="M195" s="49">
        <f>NORMDIST(F195,D157,D158,FALSE)</f>
        <v>6.236229776</v>
      </c>
      <c r="N195" s="77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2.75" customHeight="1">
      <c r="A196" s="49"/>
      <c r="B196" s="49" t="s">
        <v>92</v>
      </c>
      <c r="C196" s="49"/>
      <c r="D196" s="49"/>
      <c r="E196" s="49"/>
      <c r="F196" s="49">
        <f>F195+F293</f>
        <v>12.068</v>
      </c>
      <c r="G196" s="49"/>
      <c r="H196" s="49"/>
      <c r="I196" s="49">
        <f>NORMDIST(F196,D157,D158,FALSE)*(F294*10/M293)</f>
        <v>5.537106213</v>
      </c>
      <c r="J196" s="49">
        <f>SUM(L192:L201)</f>
        <v>8</v>
      </c>
      <c r="K196" s="49"/>
      <c r="L196" s="49">
        <v>0.0</v>
      </c>
      <c r="M196" s="49">
        <f>NORMDIST(F196,D157,D158,FALSE)</f>
        <v>5.537106213</v>
      </c>
      <c r="N196" s="77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2.75" customHeight="1">
      <c r="A197" s="49"/>
      <c r="B197" s="49" t="s">
        <v>89</v>
      </c>
      <c r="C197" s="49"/>
      <c r="D197" s="49">
        <f>SUM(D195:D196)</f>
        <v>0</v>
      </c>
      <c r="E197" s="49"/>
      <c r="F197" s="49">
        <f>F196+F293</f>
        <v>12.07</v>
      </c>
      <c r="G197" s="49"/>
      <c r="H197" s="49"/>
      <c r="I197" s="49">
        <f>NORMDIST(F197,D157,D158,FALSE)*(F294*10/M293)</f>
        <v>4.882800592</v>
      </c>
      <c r="J197" s="49">
        <f>SUM(L192:L201)</f>
        <v>8</v>
      </c>
      <c r="K197" s="49"/>
      <c r="L197" s="49">
        <v>1.0</v>
      </c>
      <c r="M197" s="49">
        <f>NORMDIST(F197,D157,D158,FALSE)</f>
        <v>4.882800592</v>
      </c>
      <c r="N197" s="77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2.75" customHeight="1">
      <c r="A198" s="49"/>
      <c r="B198" s="49"/>
      <c r="C198" s="49"/>
      <c r="D198" s="49"/>
      <c r="E198" s="49"/>
      <c r="F198" s="49">
        <f>F197+F293</f>
        <v>12.072</v>
      </c>
      <c r="G198" s="49"/>
      <c r="H198" s="49"/>
      <c r="I198" s="49">
        <f>NORMDIST(F198,D157,D158,FALSE)*(F294*10/M293)</f>
        <v>4.276421569</v>
      </c>
      <c r="J198" s="49">
        <f>SUM(L192:L201)</f>
        <v>8</v>
      </c>
      <c r="K198" s="49"/>
      <c r="L198" s="49">
        <v>0.0</v>
      </c>
      <c r="M198" s="49">
        <f>NORMDIST(F198,D157,D158,FALSE)</f>
        <v>4.276421569</v>
      </c>
      <c r="N198" s="77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2.75" customHeight="1">
      <c r="A199" s="49"/>
      <c r="B199" s="49"/>
      <c r="C199" s="49"/>
      <c r="D199" s="49"/>
      <c r="E199" s="49"/>
      <c r="F199" s="49">
        <f>F198+F293</f>
        <v>12.074</v>
      </c>
      <c r="G199" s="49"/>
      <c r="H199" s="49"/>
      <c r="I199" s="49">
        <f>NORMDIST(F199,D157,D158,FALSE)*(F294*10/M293)</f>
        <v>3.719781437</v>
      </c>
      <c r="J199" s="49">
        <f>SUM(L192:L201)</f>
        <v>8</v>
      </c>
      <c r="K199" s="49"/>
      <c r="L199" s="49">
        <v>0.0</v>
      </c>
      <c r="M199" s="49">
        <f>NORMDIST(F199,D157,D158,FALSE)</f>
        <v>3.719781437</v>
      </c>
      <c r="N199" s="77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2.75" customHeight="1">
      <c r="A200" s="49"/>
      <c r="B200" s="49"/>
      <c r="C200" s="49"/>
      <c r="D200" s="49"/>
      <c r="E200" s="49"/>
      <c r="F200" s="49">
        <f>F199+F293</f>
        <v>12.076</v>
      </c>
      <c r="G200" s="49"/>
      <c r="H200" s="49"/>
      <c r="I200" s="49">
        <f>NORMDIST(F200,D157,D158,FALSE)*(F294*10/M293)</f>
        <v>3.213510496</v>
      </c>
      <c r="J200" s="49">
        <f>SUM(L192:L201)</f>
        <v>8</v>
      </c>
      <c r="K200" s="49"/>
      <c r="L200" s="49">
        <v>0.0</v>
      </c>
      <c r="M200" s="49">
        <f>NORMDIST(F200,D157,D158,FALSE)</f>
        <v>3.213510496</v>
      </c>
      <c r="N200" s="77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2.75" customHeight="1">
      <c r="A201" s="49"/>
      <c r="B201" s="49"/>
      <c r="C201" s="49"/>
      <c r="D201" s="49"/>
      <c r="E201" s="49"/>
      <c r="F201" s="49">
        <f>F200+F293</f>
        <v>12.078</v>
      </c>
      <c r="G201" s="49"/>
      <c r="H201" s="49"/>
      <c r="I201" s="49">
        <f>NORMDIST(F201,D157,D158,FALSE)*(F294*10/M293)</f>
        <v>2.75719455</v>
      </c>
      <c r="J201" s="49">
        <f>SUM(L192:L201)</f>
        <v>8</v>
      </c>
      <c r="K201" s="49"/>
      <c r="L201" s="49">
        <v>0.0</v>
      </c>
      <c r="M201" s="49">
        <f>NORMDIST(F201,D157,D158,FALSE)</f>
        <v>2.75719455</v>
      </c>
      <c r="N201" s="77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2.75" customHeight="1">
      <c r="A202" s="49"/>
      <c r="B202" s="49"/>
      <c r="C202" s="49"/>
      <c r="D202" s="49"/>
      <c r="E202" s="49"/>
      <c r="F202" s="49">
        <f>F201+F293</f>
        <v>12.08</v>
      </c>
      <c r="G202" s="49">
        <f>IF(J202&gt;K202,J202,K202)</f>
        <v>8</v>
      </c>
      <c r="H202" s="49"/>
      <c r="I202" s="49">
        <f>NORMDIST(F202,D157,D158,FALSE)*(F294*10/M293)</f>
        <v>2.349527262</v>
      </c>
      <c r="J202" s="49">
        <f>SUM(L192:L201)</f>
        <v>8</v>
      </c>
      <c r="K202" s="49">
        <f>SUM(L202:L211)</f>
        <v>1</v>
      </c>
      <c r="L202" s="49">
        <v>1.0</v>
      </c>
      <c r="M202" s="49">
        <f>NORMDIST(F202,D157,D158,FALSE)</f>
        <v>2.349527262</v>
      </c>
      <c r="N202" s="77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2.75" customHeight="1">
      <c r="A203" s="49"/>
      <c r="B203" s="49"/>
      <c r="C203" s="49"/>
      <c r="D203" s="49"/>
      <c r="E203" s="49"/>
      <c r="F203" s="49">
        <f>F202+F293</f>
        <v>12.082</v>
      </c>
      <c r="G203" s="49"/>
      <c r="H203" s="49"/>
      <c r="I203" s="49">
        <f>NORMDIST(F203,D157,D158,FALSE)*(F294*10/M293)</f>
        <v>1.988469593</v>
      </c>
      <c r="J203" s="49"/>
      <c r="K203" s="49">
        <f>SUM(L202:L211)</f>
        <v>1</v>
      </c>
      <c r="L203" s="49">
        <v>0.0</v>
      </c>
      <c r="M203" s="49">
        <f>NORMDIST(F203,D157,D158,FALSE)</f>
        <v>1.988469593</v>
      </c>
      <c r="N203" s="77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2.75" customHeight="1">
      <c r="A204" s="49"/>
      <c r="B204" s="49"/>
      <c r="C204" s="49"/>
      <c r="D204" s="49"/>
      <c r="E204" s="49"/>
      <c r="F204" s="49">
        <f>F203+F293</f>
        <v>12.084</v>
      </c>
      <c r="G204" s="49"/>
      <c r="H204" s="49"/>
      <c r="I204" s="49">
        <f>NORMDIST(F204,D157,D158,FALSE)*(F294*10/M293)</f>
        <v>1.671409278</v>
      </c>
      <c r="J204" s="49"/>
      <c r="K204" s="49">
        <f>SUM(L202:L211)</f>
        <v>1</v>
      </c>
      <c r="L204" s="49">
        <v>0.0</v>
      </c>
      <c r="M204" s="49">
        <f>NORMDIST(F204,D157,D158,FALSE)</f>
        <v>1.671409278</v>
      </c>
      <c r="N204" s="77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2.75" customHeight="1">
      <c r="A205" s="49"/>
      <c r="B205" s="49"/>
      <c r="C205" s="49"/>
      <c r="D205" s="49"/>
      <c r="E205" s="49"/>
      <c r="F205" s="49">
        <f>F204+F293</f>
        <v>12.086</v>
      </c>
      <c r="G205" s="49"/>
      <c r="H205" s="49"/>
      <c r="I205" s="49">
        <f>NORMDIST(F205,D157,D158,FALSE)*(F294*10/M293)</f>
        <v>1.39531432</v>
      </c>
      <c r="J205" s="49"/>
      <c r="K205" s="49">
        <f>SUM(L202:L211)</f>
        <v>1</v>
      </c>
      <c r="L205" s="49">
        <v>0.0</v>
      </c>
      <c r="M205" s="49">
        <f>NORMDIST(F205,D157,D158,FALSE)</f>
        <v>1.39531432</v>
      </c>
      <c r="N205" s="77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2.75" customHeight="1">
      <c r="A206" s="49"/>
      <c r="B206" s="49"/>
      <c r="C206" s="49"/>
      <c r="D206" s="49"/>
      <c r="E206" s="49"/>
      <c r="F206" s="49">
        <f>F205+F293</f>
        <v>12.088</v>
      </c>
      <c r="G206" s="49"/>
      <c r="H206" s="49"/>
      <c r="I206" s="49">
        <f>NORMDIST(F206,D157,D158,FALSE)*(F294*10/M293)</f>
        <v>1.156875657</v>
      </c>
      <c r="J206" s="49"/>
      <c r="K206" s="49">
        <f>SUM(L202:L211)</f>
        <v>1</v>
      </c>
      <c r="L206" s="49">
        <v>0.0</v>
      </c>
      <c r="M206" s="49">
        <f>NORMDIST(F206,D157,D158,FALSE)</f>
        <v>1.156875657</v>
      </c>
      <c r="N206" s="77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2.75" customHeight="1">
      <c r="A207" s="49"/>
      <c r="B207" s="49"/>
      <c r="C207" s="49"/>
      <c r="D207" s="49"/>
      <c r="E207" s="49"/>
      <c r="F207" s="49">
        <f>F206+F293</f>
        <v>12.09</v>
      </c>
      <c r="G207" s="49"/>
      <c r="H207" s="49"/>
      <c r="I207" s="49">
        <f>NORMDIST(F207,D157,D158,FALSE)*(F294*10/M293)</f>
        <v>0.9526353716</v>
      </c>
      <c r="J207" s="49"/>
      <c r="K207" s="49">
        <f>SUM(L202:L211)</f>
        <v>1</v>
      </c>
      <c r="L207" s="49">
        <v>0.0</v>
      </c>
      <c r="M207" s="49">
        <f>NORMDIST(F207,D157,D158,FALSE)</f>
        <v>0.9526353716</v>
      </c>
      <c r="N207" s="77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2.75" customHeight="1">
      <c r="A208" s="49"/>
      <c r="B208" s="49"/>
      <c r="C208" s="49"/>
      <c r="D208" s="49"/>
      <c r="E208" s="49"/>
      <c r="F208" s="49">
        <f>F207+F293</f>
        <v>12.092</v>
      </c>
      <c r="G208" s="49"/>
      <c r="H208" s="49"/>
      <c r="I208" s="49">
        <f>NORMDIST(F208,D157,D158,FALSE)*(F294*10/M293)</f>
        <v>0.7790980396</v>
      </c>
      <c r="J208" s="49"/>
      <c r="K208" s="49">
        <f>SUM(L202:L211)</f>
        <v>1</v>
      </c>
      <c r="L208" s="49">
        <v>0.0</v>
      </c>
      <c r="M208" s="49">
        <f>NORMDIST(F208,D157,D158,FALSE)</f>
        <v>0.7790980396</v>
      </c>
      <c r="N208" s="77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2.75" customHeight="1">
      <c r="A209" s="49"/>
      <c r="B209" s="49"/>
      <c r="C209" s="49"/>
      <c r="D209" s="49"/>
      <c r="E209" s="49"/>
      <c r="F209" s="49">
        <f>F208+F293</f>
        <v>12.094</v>
      </c>
      <c r="G209" s="49"/>
      <c r="H209" s="49"/>
      <c r="I209" s="49">
        <f>NORMDIST(F209,D157,D158,FALSE)*(F294*10/M293)</f>
        <v>0.6328239523</v>
      </c>
      <c r="J209" s="49"/>
      <c r="K209" s="49">
        <f>SUM(L202:L211)</f>
        <v>1</v>
      </c>
      <c r="L209" s="49">
        <v>0.0</v>
      </c>
      <c r="M209" s="49">
        <f>NORMDIST(F209,D157,D158,FALSE)</f>
        <v>0.6328239523</v>
      </c>
      <c r="N209" s="77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2.75" customHeight="1">
      <c r="A210" s="49"/>
      <c r="B210" s="49"/>
      <c r="C210" s="49"/>
      <c r="D210" s="49"/>
      <c r="E210" s="49"/>
      <c r="F210" s="49">
        <f>F209+F293</f>
        <v>12.096</v>
      </c>
      <c r="G210" s="49"/>
      <c r="H210" s="49"/>
      <c r="I210" s="49">
        <f>NORMDIST(F210,D157,D158,FALSE)*(F294*10/M293)</f>
        <v>0.5105039356</v>
      </c>
      <c r="J210" s="49"/>
      <c r="K210" s="49">
        <f>SUM(L202:L211)</f>
        <v>1</v>
      </c>
      <c r="L210" s="49">
        <v>0.0</v>
      </c>
      <c r="M210" s="49">
        <f>NORMDIST(F210,D157,D158,FALSE)</f>
        <v>0.5105039356</v>
      </c>
      <c r="N210" s="77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2.75" customHeight="1">
      <c r="A211" s="49"/>
      <c r="B211" s="49"/>
      <c r="C211" s="49"/>
      <c r="D211" s="49"/>
      <c r="E211" s="49"/>
      <c r="F211" s="49">
        <f>F210+F293</f>
        <v>12.098</v>
      </c>
      <c r="G211" s="49"/>
      <c r="H211" s="78"/>
      <c r="I211" s="49">
        <f>NORMDIST(F211,D157,D158,FALSE)*(F294*10/M293)</f>
        <v>0.4090163501</v>
      </c>
      <c r="J211" s="49"/>
      <c r="K211" s="49">
        <f>SUM(L202:L211)</f>
        <v>1</v>
      </c>
      <c r="L211" s="49">
        <v>0.0</v>
      </c>
      <c r="M211" s="49">
        <f>NORMDIST(F211,D157,D158,FALSE)</f>
        <v>0.4090163501</v>
      </c>
      <c r="N211" s="77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2.75" customHeight="1">
      <c r="A212" s="49"/>
      <c r="B212" s="49"/>
      <c r="C212" s="49"/>
      <c r="D212" s="49"/>
      <c r="E212" s="49"/>
      <c r="F212" s="49">
        <f>IF(P6="C",I20+(I20-L6),H6)</f>
        <v>12.1</v>
      </c>
      <c r="G212" s="49">
        <f>IF(J212&gt;K212,J212,K212)</f>
        <v>1</v>
      </c>
      <c r="H212" s="78">
        <f>IF(OR(G293=0,I293=0),0,IF(G293&gt;I293,ROUND(G293*1.4,0),ROUND(I293*1.4,0)))</f>
        <v>25</v>
      </c>
      <c r="I212" s="49">
        <f>NORMDIST(F212,D157,D158,FALSE)*(F294*10/M293)</f>
        <v>0.3254675029</v>
      </c>
      <c r="J212" s="49">
        <f>SUM(L212:L221)</f>
        <v>0</v>
      </c>
      <c r="K212" s="49">
        <f>SUM(L202:L211)</f>
        <v>1</v>
      </c>
      <c r="L212" s="49">
        <v>0.0</v>
      </c>
      <c r="M212" s="49">
        <f>NORMDIST(F212,D157,D158,FALSE)</f>
        <v>0.3254675029</v>
      </c>
      <c r="N212" s="77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2.75" customHeight="1">
      <c r="A213" s="49"/>
      <c r="B213" s="49"/>
      <c r="C213" s="49"/>
      <c r="D213" s="49"/>
      <c r="E213" s="49"/>
      <c r="F213" s="49">
        <f>F212+F293</f>
        <v>12.102</v>
      </c>
      <c r="G213" s="49"/>
      <c r="H213" s="49"/>
      <c r="I213" s="49">
        <f>NORMDIST(F213,D157,D158,FALSE)*(F294*10/M293)</f>
        <v>0.2572171864</v>
      </c>
      <c r="J213" s="49">
        <f>SUM(L212:L221)</f>
        <v>0</v>
      </c>
      <c r="K213" s="49"/>
      <c r="L213" s="49">
        <v>0.0</v>
      </c>
      <c r="M213" s="49">
        <f>NORMDIST(F213,D157,D158,FALSE)</f>
        <v>0.2572171864</v>
      </c>
      <c r="N213" s="77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2.75" customHeight="1">
      <c r="A214" s="49"/>
      <c r="B214" s="49"/>
      <c r="C214" s="49"/>
      <c r="D214" s="49"/>
      <c r="E214" s="49"/>
      <c r="F214" s="49">
        <f>F213+F293</f>
        <v>12.104</v>
      </c>
      <c r="G214" s="49"/>
      <c r="H214" s="49"/>
      <c r="I214" s="49">
        <f>NORMDIST(F214,D157,D158,FALSE)*(F294*10/M293)</f>
        <v>0.2018913553</v>
      </c>
      <c r="J214" s="49">
        <f>SUM(L212:L221)</f>
        <v>0</v>
      </c>
      <c r="K214" s="49"/>
      <c r="L214" s="49">
        <v>0.0</v>
      </c>
      <c r="M214" s="49">
        <f>NORMDIST(F214,D157,D158,FALSE)</f>
        <v>0.2018913553</v>
      </c>
      <c r="N214" s="77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2.75" customHeight="1">
      <c r="A215" s="49"/>
      <c r="B215" s="49"/>
      <c r="C215" s="49"/>
      <c r="D215" s="49"/>
      <c r="E215" s="49"/>
      <c r="F215" s="49">
        <f>F214+F293</f>
        <v>12.106</v>
      </c>
      <c r="G215" s="49"/>
      <c r="H215" s="49"/>
      <c r="I215" s="49">
        <f>NORMDIST(F215,D157,D158,FALSE)*(F294*10/M293)</f>
        <v>0.157384099</v>
      </c>
      <c r="J215" s="49">
        <f>SUM(L212:L221)</f>
        <v>0</v>
      </c>
      <c r="K215" s="49"/>
      <c r="L215" s="49">
        <v>0.0</v>
      </c>
      <c r="M215" s="49">
        <f>NORMDIST(F215,D157,D158,FALSE)</f>
        <v>0.157384099</v>
      </c>
      <c r="N215" s="77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2.75" customHeight="1">
      <c r="A216" s="49"/>
      <c r="B216" s="49"/>
      <c r="C216" s="49"/>
      <c r="D216" s="49"/>
      <c r="E216" s="49"/>
      <c r="F216" s="49">
        <f>F215+F293</f>
        <v>12.108</v>
      </c>
      <c r="G216" s="49"/>
      <c r="H216" s="49"/>
      <c r="I216" s="49">
        <f>NORMDIST(F216,D157,D158,FALSE)*(F294*10/M293)</f>
        <v>0.1218510762</v>
      </c>
      <c r="J216" s="49">
        <f>SUM(L212:L221)</f>
        <v>0</v>
      </c>
      <c r="K216" s="49"/>
      <c r="L216" s="49">
        <v>0.0</v>
      </c>
      <c r="M216" s="49">
        <f>NORMDIST(F216,D157,D158,FALSE)</f>
        <v>0.1218510762</v>
      </c>
      <c r="N216" s="77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2.75" customHeight="1">
      <c r="A217" s="49"/>
      <c r="B217" s="49"/>
      <c r="C217" s="49"/>
      <c r="D217" s="49"/>
      <c r="E217" s="49"/>
      <c r="F217" s="49">
        <f>F216+F293</f>
        <v>12.11</v>
      </c>
      <c r="G217" s="49"/>
      <c r="H217" s="49"/>
      <c r="I217" s="49">
        <f>NORMDIST(F217,D157,D158,FALSE)*(F294*10/M293)</f>
        <v>0.0936964799</v>
      </c>
      <c r="J217" s="49">
        <f>SUM(L212:L221)</f>
        <v>0</v>
      </c>
      <c r="K217" s="49"/>
      <c r="L217" s="49">
        <v>0.0</v>
      </c>
      <c r="M217" s="49">
        <f>NORMDIST(F217,D157,D158,FALSE)</f>
        <v>0.0936964799</v>
      </c>
      <c r="N217" s="77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2.75" customHeight="1">
      <c r="A218" s="49"/>
      <c r="B218" s="49"/>
      <c r="C218" s="49"/>
      <c r="D218" s="49"/>
      <c r="E218" s="49"/>
      <c r="F218" s="49">
        <f>F217+F293</f>
        <v>12.112</v>
      </c>
      <c r="G218" s="49"/>
      <c r="H218" s="49"/>
      <c r="I218" s="49">
        <f>NORMDIST(F218,D157,D158,FALSE)*(F294*10/M293)</f>
        <v>0.07155542565</v>
      </c>
      <c r="J218" s="49">
        <f>SUM(L212:L221)</f>
        <v>0</v>
      </c>
      <c r="K218" s="49"/>
      <c r="L218" s="49">
        <v>0.0</v>
      </c>
      <c r="M218" s="49">
        <f>NORMDIST(F218,D157,D158,FALSE)</f>
        <v>0.07155542565</v>
      </c>
      <c r="N218" s="77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2.75" customHeight="1">
      <c r="A219" s="49"/>
      <c r="B219" s="49"/>
      <c r="C219" s="49"/>
      <c r="D219" s="49"/>
      <c r="E219" s="49"/>
      <c r="F219" s="49">
        <f>F218+F293</f>
        <v>12.114</v>
      </c>
      <c r="G219" s="49"/>
      <c r="H219" s="49"/>
      <c r="I219" s="49">
        <f>NORMDIST(F219,D157,D158,FALSE)*(F294*10/M293)</f>
        <v>0.0542734279</v>
      </c>
      <c r="J219" s="49">
        <f>SUM(L212:L221)</f>
        <v>0</v>
      </c>
      <c r="K219" s="49"/>
      <c r="L219" s="49">
        <v>0.0</v>
      </c>
      <c r="M219" s="49">
        <f>NORMDIST(F219,D157,D158,FALSE)</f>
        <v>0.0542734279</v>
      </c>
      <c r="N219" s="77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2.75" customHeight="1">
      <c r="A220" s="49"/>
      <c r="B220" s="49"/>
      <c r="C220" s="49"/>
      <c r="D220" s="49"/>
      <c r="E220" s="49"/>
      <c r="F220" s="49">
        <f>F219+F293</f>
        <v>12.116</v>
      </c>
      <c r="G220" s="49"/>
      <c r="H220" s="49"/>
      <c r="I220" s="49">
        <f>NORMDIST(F220,D157,D158,FALSE)*(F294*10/M293)</f>
        <v>0.04088437132</v>
      </c>
      <c r="J220" s="49">
        <f>SUM(L212:L221)</f>
        <v>0</v>
      </c>
      <c r="K220" s="49"/>
      <c r="L220" s="49">
        <v>0.0</v>
      </c>
      <c r="M220" s="49">
        <f>NORMDIST(F220,D157,D158,FALSE)</f>
        <v>0.04088437132</v>
      </c>
      <c r="N220" s="77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2.75" customHeight="1">
      <c r="A221" s="49"/>
      <c r="B221" s="49"/>
      <c r="C221" s="49"/>
      <c r="D221" s="49"/>
      <c r="E221" s="49"/>
      <c r="F221" s="49">
        <f>F220+F293</f>
        <v>12.118</v>
      </c>
      <c r="G221" s="49"/>
      <c r="H221" s="49"/>
      <c r="I221" s="49">
        <f>NORMDIST(F221,D157,D158,FALSE)*(F294*10/M293)</f>
        <v>0.03058811992</v>
      </c>
      <c r="J221" s="49">
        <f>SUM(L212:L221)</f>
        <v>0</v>
      </c>
      <c r="K221" s="49"/>
      <c r="L221" s="49">
        <v>0.0</v>
      </c>
      <c r="M221" s="49">
        <f>NORMDIST(F221,D157,D158,FALSE)</f>
        <v>0.03058811992</v>
      </c>
      <c r="N221" s="77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2.75" customHeight="1">
      <c r="A222" s="49"/>
      <c r="B222" s="49"/>
      <c r="C222" s="49"/>
      <c r="D222" s="49"/>
      <c r="E222" s="49"/>
      <c r="F222" s="49">
        <f>F221+F293</f>
        <v>12.12</v>
      </c>
      <c r="G222" s="49">
        <f>IF(J222&gt;K222,J222,K222)</f>
        <v>0</v>
      </c>
      <c r="H222" s="49"/>
      <c r="I222" s="49">
        <f>NORMDIST(F222,D157,D158,FALSE)*(F294*10/M293)</f>
        <v>0.02272864957</v>
      </c>
      <c r="J222" s="49">
        <f>SUM(L212:L221)</f>
        <v>0</v>
      </c>
      <c r="K222" s="49">
        <f>SUM(L222:L231)</f>
        <v>0</v>
      </c>
      <c r="L222" s="49">
        <v>0.0</v>
      </c>
      <c r="M222" s="49">
        <f>NORMDIST(F222,D157,D158,FALSE)</f>
        <v>0.02272864957</v>
      </c>
      <c r="N222" s="77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2.75" customHeight="1">
      <c r="A223" s="49"/>
      <c r="B223" s="49"/>
      <c r="C223" s="49"/>
      <c r="D223" s="49"/>
      <c r="E223" s="49"/>
      <c r="F223" s="49">
        <f>F222+F293</f>
        <v>12.122</v>
      </c>
      <c r="G223" s="49"/>
      <c r="H223" s="49"/>
      <c r="I223" s="49">
        <f>NORMDIST(F223,D157,D158,FALSE)*(F294*10/M293)</f>
        <v>0.01677335235</v>
      </c>
      <c r="J223" s="49"/>
      <c r="K223" s="49">
        <f>SUM(L222:L231)</f>
        <v>0</v>
      </c>
      <c r="L223" s="49">
        <v>0.0</v>
      </c>
      <c r="M223" s="49">
        <f>NORMDIST(F223,D157,D158,FALSE)</f>
        <v>0.01677335235</v>
      </c>
      <c r="N223" s="77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2.75" customHeight="1">
      <c r="A224" s="49"/>
      <c r="B224" s="49"/>
      <c r="C224" s="49"/>
      <c r="D224" s="49"/>
      <c r="E224" s="49"/>
      <c r="F224" s="49">
        <f>F223+F293</f>
        <v>12.124</v>
      </c>
      <c r="G224" s="49"/>
      <c r="H224" s="49"/>
      <c r="I224" s="49">
        <f>NORMDIST(F224,D157,D158,FALSE)*(F294*10/M293)</f>
        <v>0.01229395151</v>
      </c>
      <c r="J224" s="49"/>
      <c r="K224" s="49">
        <f>SUM(L222:L231)</f>
        <v>0</v>
      </c>
      <c r="L224" s="49">
        <v>0.0</v>
      </c>
      <c r="M224" s="49">
        <f>NORMDIST(F224,D157,D158,FALSE)</f>
        <v>0.01229395151</v>
      </c>
      <c r="N224" s="77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2.75" customHeight="1">
      <c r="A225" s="49"/>
      <c r="B225" s="49"/>
      <c r="C225" s="49"/>
      <c r="D225" s="49"/>
      <c r="E225" s="49"/>
      <c r="F225" s="49">
        <f>F224+F293</f>
        <v>12.126</v>
      </c>
      <c r="G225" s="49"/>
      <c r="H225" s="49"/>
      <c r="I225" s="49">
        <f>NORMDIST(F225,D157,D158,FALSE)*(F294*10/M293)</f>
        <v>0.008949288533</v>
      </c>
      <c r="J225" s="49"/>
      <c r="K225" s="49">
        <f>SUM(L222:L231)</f>
        <v>0</v>
      </c>
      <c r="L225" s="49">
        <v>0.0</v>
      </c>
      <c r="M225" s="49">
        <f>NORMDIST(F225,D157,D158,FALSE)</f>
        <v>0.008949288533</v>
      </c>
      <c r="N225" s="77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2.75" customHeight="1">
      <c r="A226" s="49"/>
      <c r="B226" s="49"/>
      <c r="C226" s="49"/>
      <c r="D226" s="49"/>
      <c r="E226" s="49"/>
      <c r="F226" s="49">
        <f>F225+F293</f>
        <v>12.128</v>
      </c>
      <c r="G226" s="49"/>
      <c r="H226" s="49"/>
      <c r="I226" s="49">
        <f>NORMDIST(F226,D157,D158,FALSE)*(F294*10/M293)</f>
        <v>0.006470098812</v>
      </c>
      <c r="J226" s="49"/>
      <c r="K226" s="49">
        <f>SUM(L222:L231)</f>
        <v>0</v>
      </c>
      <c r="L226" s="49">
        <v>0.0</v>
      </c>
      <c r="M226" s="49">
        <f>NORMDIST(F226,D157,D158,FALSE)</f>
        <v>0.006470098812</v>
      </c>
      <c r="N226" s="77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2.75" customHeight="1">
      <c r="A227" s="49"/>
      <c r="B227" s="49"/>
      <c r="C227" s="49"/>
      <c r="D227" s="49"/>
      <c r="E227" s="49"/>
      <c r="F227" s="49">
        <f>F226+F293</f>
        <v>12.13</v>
      </c>
      <c r="G227" s="49"/>
      <c r="H227" s="49"/>
      <c r="I227" s="49">
        <f>NORMDIST(F227,D157,D158,FALSE)*(F294*10/M293)</f>
        <v>0.004645780694</v>
      </c>
      <c r="J227" s="49"/>
      <c r="K227" s="49">
        <f>SUM(L222:L231)</f>
        <v>0</v>
      </c>
      <c r="L227" s="49">
        <v>0.0</v>
      </c>
      <c r="M227" s="49">
        <f>NORMDIST(F227,D157,D158,FALSE)</f>
        <v>0.004645780694</v>
      </c>
      <c r="N227" s="77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2.75" customHeight="1">
      <c r="A228" s="49"/>
      <c r="B228" s="49"/>
      <c r="C228" s="49"/>
      <c r="D228" s="49"/>
      <c r="E228" s="49"/>
      <c r="F228" s="49">
        <f>F227+F293</f>
        <v>12.132</v>
      </c>
      <c r="G228" s="49"/>
      <c r="H228" s="49"/>
      <c r="I228" s="49">
        <f>NORMDIST(F228,D157,D158,FALSE)*(F294*10/M293)</f>
        <v>0.003313079712</v>
      </c>
      <c r="J228" s="49"/>
      <c r="K228" s="49">
        <f>SUM(L222:L231)</f>
        <v>0</v>
      </c>
      <c r="L228" s="49">
        <v>0.0</v>
      </c>
      <c r="M228" s="49">
        <f>NORMDIST(F228,D157,D158,FALSE)</f>
        <v>0.003313079712</v>
      </c>
      <c r="N228" s="77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2.75" customHeight="1">
      <c r="A229" s="49"/>
      <c r="B229" s="49"/>
      <c r="C229" s="49"/>
      <c r="D229" s="49"/>
      <c r="E229" s="49"/>
      <c r="F229" s="49">
        <f>F228+F293</f>
        <v>12.134</v>
      </c>
      <c r="G229" s="49"/>
      <c r="H229" s="49"/>
      <c r="I229" s="49">
        <f>NORMDIST(F229,D157,D158,FALSE)*(F294*10/M293)</f>
        <v>0.002346553465</v>
      </c>
      <c r="J229" s="49"/>
      <c r="K229" s="49">
        <f>SUM(L222:L231)</f>
        <v>0</v>
      </c>
      <c r="L229" s="49">
        <v>0.0</v>
      </c>
      <c r="M229" s="49">
        <f>NORMDIST(F229,D157,D158,FALSE)</f>
        <v>0.002346553465</v>
      </c>
      <c r="N229" s="77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2.75" customHeight="1">
      <c r="A230" s="49"/>
      <c r="B230" s="49"/>
      <c r="C230" s="49"/>
      <c r="D230" s="49"/>
      <c r="E230" s="49"/>
      <c r="F230" s="49">
        <f>F229+F293</f>
        <v>12.136</v>
      </c>
      <c r="G230" s="49"/>
      <c r="H230" s="49"/>
      <c r="I230" s="49">
        <f>NORMDIST(F230,D157,D158,FALSE)*(F294*10/M293)</f>
        <v>0.001650647776</v>
      </c>
      <c r="J230" s="49"/>
      <c r="K230" s="49">
        <f>SUM(L222:L231)</f>
        <v>0</v>
      </c>
      <c r="L230" s="49">
        <v>0.0</v>
      </c>
      <c r="M230" s="49">
        <f>NORMDIST(F230,D157,D158,FALSE)</f>
        <v>0.001650647776</v>
      </c>
      <c r="N230" s="77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2.75" customHeight="1">
      <c r="A231" s="49"/>
      <c r="B231" s="49"/>
      <c r="C231" s="49"/>
      <c r="D231" s="49"/>
      <c r="E231" s="49"/>
      <c r="F231" s="49">
        <f>F230+F293</f>
        <v>12.138</v>
      </c>
      <c r="G231" s="49"/>
      <c r="H231" s="49"/>
      <c r="I231" s="49">
        <f>NORMDIST(F231,D157,D158,FALSE)*(F294*10/M293)</f>
        <v>0.001153197672</v>
      </c>
      <c r="J231" s="49"/>
      <c r="K231" s="49">
        <f>SUM(L222:L231)</f>
        <v>0</v>
      </c>
      <c r="L231" s="49">
        <v>0.0</v>
      </c>
      <c r="M231" s="49">
        <f>NORMDIST(F231,D157,D158,FALSE)</f>
        <v>0.001153197672</v>
      </c>
      <c r="N231" s="77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2.75" customHeight="1">
      <c r="A232" s="49"/>
      <c r="B232" s="49"/>
      <c r="C232" s="49"/>
      <c r="D232" s="49"/>
      <c r="E232" s="49"/>
      <c r="F232" s="49">
        <f>F231+F293</f>
        <v>12.14</v>
      </c>
      <c r="G232" s="49">
        <f>IF(J232&gt;K232,J232,K232)</f>
        <v>0</v>
      </c>
      <c r="H232" s="49"/>
      <c r="I232" s="49">
        <f>NORMDIST(F232,D157,D158,FALSE)*(F294*10/M293)</f>
        <v>0.0008001630479</v>
      </c>
      <c r="J232" s="49">
        <f>SUM(L232:L241)</f>
        <v>0</v>
      </c>
      <c r="K232" s="49">
        <f>SUM(L222:L231)</f>
        <v>0</v>
      </c>
      <c r="L232" s="49">
        <v>0.0</v>
      </c>
      <c r="M232" s="49">
        <f>NORMDIST(F232,D157,D158,FALSE)</f>
        <v>0.0008001630479</v>
      </c>
      <c r="N232" s="77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2.75" customHeight="1">
      <c r="A233" s="49"/>
      <c r="B233" s="49"/>
      <c r="C233" s="49"/>
      <c r="D233" s="49"/>
      <c r="E233" s="49"/>
      <c r="F233" s="49">
        <f>F232+F293</f>
        <v>12.142</v>
      </c>
      <c r="G233" s="49"/>
      <c r="H233" s="49"/>
      <c r="I233" s="49">
        <f>NORMDIST(F233,D157,D158,FALSE)*(F294*10/M293)</f>
        <v>0.000551415049</v>
      </c>
      <c r="J233" s="49">
        <f>SUM(L232:L241)</f>
        <v>0</v>
      </c>
      <c r="K233" s="49"/>
      <c r="L233" s="49">
        <v>0.0</v>
      </c>
      <c r="M233" s="49">
        <f>NORMDIST(F233,D157,D158,FALSE)</f>
        <v>0.000551415049</v>
      </c>
      <c r="N233" s="77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2.75" customHeight="1">
      <c r="A234" s="49"/>
      <c r="B234" s="49"/>
      <c r="C234" s="49"/>
      <c r="D234" s="49"/>
      <c r="E234" s="49"/>
      <c r="F234" s="49">
        <f>F233+F293</f>
        <v>12.144</v>
      </c>
      <c r="G234" s="49"/>
      <c r="H234" s="49"/>
      <c r="I234" s="49">
        <f>NORMDIST(F234,D157,D158,FALSE)*(F294*10/M293)</f>
        <v>0.0003774019381</v>
      </c>
      <c r="J234" s="49">
        <f>SUM(L232:L241)</f>
        <v>0</v>
      </c>
      <c r="K234" s="49"/>
      <c r="L234" s="49">
        <v>0.0</v>
      </c>
      <c r="M234" s="49">
        <f>NORMDIST(F234,D157,D158,FALSE)</f>
        <v>0.0003774019381</v>
      </c>
      <c r="N234" s="77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2.75" customHeight="1">
      <c r="A235" s="49"/>
      <c r="B235" s="49"/>
      <c r="C235" s="49"/>
      <c r="D235" s="49"/>
      <c r="E235" s="49"/>
      <c r="F235" s="49">
        <f>F234+F293</f>
        <v>12.146</v>
      </c>
      <c r="G235" s="49"/>
      <c r="H235" s="49"/>
      <c r="I235" s="49">
        <f>NORMDIST(F235,D157,D158,FALSE)*(F294*10/M293)</f>
        <v>0.0002565399621</v>
      </c>
      <c r="J235" s="49">
        <f>SUM(L232:L241)</f>
        <v>0</v>
      </c>
      <c r="K235" s="49"/>
      <c r="L235" s="49">
        <v>0.0</v>
      </c>
      <c r="M235" s="49">
        <f>NORMDIST(F235,D157,D158,FALSE)</f>
        <v>0.0002565399621</v>
      </c>
      <c r="N235" s="77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2.75" customHeight="1">
      <c r="A236" s="49"/>
      <c r="B236" s="49"/>
      <c r="C236" s="49"/>
      <c r="D236" s="49"/>
      <c r="E236" s="49"/>
      <c r="F236" s="49">
        <f>F235+F293</f>
        <v>12.148</v>
      </c>
      <c r="G236" s="49"/>
      <c r="H236" s="49"/>
      <c r="I236" s="49">
        <f>NORMDIST(F236,D157,D158,FALSE)*(F294*10/M293)</f>
        <v>0.0001731933908</v>
      </c>
      <c r="J236" s="49">
        <f>SUM(L232:L241)</f>
        <v>0</v>
      </c>
      <c r="K236" s="49"/>
      <c r="L236" s="49">
        <v>0.0</v>
      </c>
      <c r="M236" s="49">
        <f>NORMDIST(F236,D157,D158,FALSE)</f>
        <v>0.0001731933908</v>
      </c>
      <c r="N236" s="77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2.75" customHeight="1">
      <c r="A237" s="49"/>
      <c r="B237" s="49"/>
      <c r="C237" s="49"/>
      <c r="D237" s="49"/>
      <c r="E237" s="49"/>
      <c r="F237" s="49">
        <f>F236+F293</f>
        <v>12.15</v>
      </c>
      <c r="G237" s="49"/>
      <c r="H237" s="49"/>
      <c r="I237" s="49">
        <f>NORMDIST(F237,D157,D158,FALSE)*(F294*10/M293)</f>
        <v>0.0001161269427</v>
      </c>
      <c r="J237" s="49">
        <f>SUM(L232:L241)</f>
        <v>0</v>
      </c>
      <c r="K237" s="49"/>
      <c r="L237" s="49">
        <v>0.0</v>
      </c>
      <c r="M237" s="49">
        <f>NORMDIST(F237,D157,D158,FALSE)</f>
        <v>0.0001161269427</v>
      </c>
      <c r="N237" s="77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2.75" customHeight="1">
      <c r="A238" s="49"/>
      <c r="B238" s="49"/>
      <c r="C238" s="49"/>
      <c r="D238" s="49"/>
      <c r="E238" s="49"/>
      <c r="F238" s="49">
        <f>F237+F293</f>
        <v>12.152</v>
      </c>
      <c r="G238" s="49"/>
      <c r="H238" s="49"/>
      <c r="I238" s="49">
        <f>NORMDIST(F238,D157,D158,FALSE)*(F294*10/M293)</f>
        <v>0.00007733214531</v>
      </c>
      <c r="J238" s="49">
        <f>SUM(L232:L241)</f>
        <v>0</v>
      </c>
      <c r="K238" s="49"/>
      <c r="L238" s="49">
        <v>0.0</v>
      </c>
      <c r="M238" s="49">
        <f>NORMDIST(F238,D157,D158,FALSE)</f>
        <v>0.00007733214531</v>
      </c>
      <c r="N238" s="77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2.75" customHeight="1">
      <c r="A239" s="49"/>
      <c r="B239" s="49"/>
      <c r="C239" s="49"/>
      <c r="D239" s="49"/>
      <c r="E239" s="49"/>
      <c r="F239" s="49">
        <f>F238+F293</f>
        <v>12.154</v>
      </c>
      <c r="G239" s="49"/>
      <c r="H239" s="49"/>
      <c r="I239" s="49">
        <f>NORMDIST(F239,D157,D158,FALSE)*(F294*10/M293)</f>
        <v>0.00005114609875</v>
      </c>
      <c r="J239" s="49">
        <f>SUM(L232:L241)</f>
        <v>0</v>
      </c>
      <c r="K239" s="49"/>
      <c r="L239" s="49">
        <v>0.0</v>
      </c>
      <c r="M239" s="49">
        <f>NORMDIST(F239,D157,D158,FALSE)</f>
        <v>0.00005114609875</v>
      </c>
      <c r="N239" s="77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2.75" customHeight="1">
      <c r="A240" s="49"/>
      <c r="B240" s="49"/>
      <c r="C240" s="49"/>
      <c r="D240" s="49"/>
      <c r="E240" s="49"/>
      <c r="F240" s="49">
        <f>F239+F293</f>
        <v>12.156</v>
      </c>
      <c r="G240" s="49"/>
      <c r="H240" s="49"/>
      <c r="I240" s="49">
        <f>NORMDIST(F240,D157,D158,FALSE)*(F294*10/M293)</f>
        <v>0.00003359621531</v>
      </c>
      <c r="J240" s="49">
        <f>SUM(L232:L241)</f>
        <v>0</v>
      </c>
      <c r="K240" s="49"/>
      <c r="L240" s="49">
        <v>0.0</v>
      </c>
      <c r="M240" s="49">
        <f>NORMDIST(F240,D157,D158,FALSE)</f>
        <v>0.00003359621531</v>
      </c>
      <c r="N240" s="77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2.75" customHeight="1">
      <c r="A241" s="49"/>
      <c r="B241" s="49"/>
      <c r="C241" s="49"/>
      <c r="D241" s="49"/>
      <c r="E241" s="49"/>
      <c r="F241" s="49">
        <f>F240+F293</f>
        <v>12.158</v>
      </c>
      <c r="G241" s="49"/>
      <c r="H241" s="49"/>
      <c r="I241" s="49">
        <f>NORMDIST(F241,D157,D158,FALSE)*(F294*10/M293)</f>
        <v>0.00002191762982</v>
      </c>
      <c r="J241" s="49">
        <f>SUM(L232:L241)</f>
        <v>0</v>
      </c>
      <c r="K241" s="49"/>
      <c r="L241" s="49">
        <v>0.0</v>
      </c>
      <c r="M241" s="49">
        <f>NORMDIST(F241,D157,D158,FALSE)</f>
        <v>0.00002191762982</v>
      </c>
      <c r="N241" s="77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2.75" customHeight="1">
      <c r="A242" s="49"/>
      <c r="B242" s="49"/>
      <c r="C242" s="49"/>
      <c r="D242" s="49"/>
      <c r="E242" s="49"/>
      <c r="F242" s="49">
        <f>F241+F293</f>
        <v>12.16</v>
      </c>
      <c r="G242" s="49">
        <f>IF(J242&gt;K242,J242,K242)</f>
        <v>0</v>
      </c>
      <c r="H242" s="49"/>
      <c r="I242" s="49">
        <f>NORMDIST(F242,D157,D158,FALSE)*(F294*10/M293)</f>
        <v>0.00001420110727</v>
      </c>
      <c r="J242" s="49">
        <f>SUM(L232:L241)</f>
        <v>0</v>
      </c>
      <c r="K242" s="49">
        <f>SUM(L242:L251)</f>
        <v>0</v>
      </c>
      <c r="L242" s="49">
        <v>0.0</v>
      </c>
      <c r="M242" s="49">
        <f>NORMDIST(F242,D157,D158,FALSE)</f>
        <v>0.00001420110727</v>
      </c>
      <c r="N242" s="77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2.75" customHeight="1">
      <c r="A243" s="49"/>
      <c r="B243" s="49"/>
      <c r="C243" s="49"/>
      <c r="D243" s="49"/>
      <c r="E243" s="49"/>
      <c r="F243" s="49">
        <f>F242+F293</f>
        <v>12.162</v>
      </c>
      <c r="G243" s="49"/>
      <c r="H243" s="49"/>
      <c r="I243" s="49">
        <f>NORMDIST(F243,D157,D158,FALSE)*(F294*10/M293)</f>
        <v>0.000009138527364</v>
      </c>
      <c r="J243" s="49"/>
      <c r="K243" s="49">
        <f>SUM(L242:L251)</f>
        <v>0</v>
      </c>
      <c r="L243" s="49">
        <v>0.0</v>
      </c>
      <c r="M243" s="49">
        <f>NORMDIST(F243,D157,D158,FALSE)</f>
        <v>0.000009138527364</v>
      </c>
      <c r="N243" s="77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2.75" customHeight="1">
      <c r="A244" s="49"/>
      <c r="B244" s="49"/>
      <c r="C244" s="49"/>
      <c r="D244" s="49"/>
      <c r="E244" s="49"/>
      <c r="F244" s="49">
        <f>F243+F293</f>
        <v>12.164</v>
      </c>
      <c r="G244" s="49"/>
      <c r="H244" s="49"/>
      <c r="I244" s="49">
        <f>NORMDIST(F244,D157,D158,FALSE)*(F294*10/M293)</f>
        <v>0.000005840575119</v>
      </c>
      <c r="J244" s="49"/>
      <c r="K244" s="49">
        <f>SUM(L242:L251)</f>
        <v>0</v>
      </c>
      <c r="L244" s="49">
        <v>0.0</v>
      </c>
      <c r="M244" s="49">
        <f>NORMDIST(F244,D157,D158,FALSE)</f>
        <v>0.000005840575119</v>
      </c>
      <c r="N244" s="77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2.75" customHeight="1">
      <c r="A245" s="49"/>
      <c r="B245" s="49"/>
      <c r="C245" s="49"/>
      <c r="D245" s="49"/>
      <c r="E245" s="49"/>
      <c r="F245" s="49">
        <f>F244+F293</f>
        <v>12.166</v>
      </c>
      <c r="G245" s="49"/>
      <c r="H245" s="49"/>
      <c r="I245" s="49">
        <f>NORMDIST(F245,D157,D158,FALSE)*(F294*10/M293)</f>
        <v>0.000003707322782</v>
      </c>
      <c r="J245" s="49"/>
      <c r="K245" s="49">
        <f>SUM(L242:L251)</f>
        <v>0</v>
      </c>
      <c r="L245" s="49">
        <v>0.0</v>
      </c>
      <c r="M245" s="49">
        <f>NORMDIST(F245,D157,D158,FALSE)</f>
        <v>0.000003707322782</v>
      </c>
      <c r="N245" s="77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2.75" customHeight="1">
      <c r="A246" s="49"/>
      <c r="B246" s="49"/>
      <c r="C246" s="49"/>
      <c r="D246" s="49"/>
      <c r="E246" s="49"/>
      <c r="F246" s="49">
        <f>F245+F293</f>
        <v>12.168</v>
      </c>
      <c r="G246" s="49"/>
      <c r="H246" s="49"/>
      <c r="I246" s="49">
        <f>NORMDIST(F246,D157,D158,FALSE)*(F294*10/M293)</f>
        <v>0.000002337171461</v>
      </c>
      <c r="J246" s="49"/>
      <c r="K246" s="49">
        <f>SUM(L242:L251)</f>
        <v>0</v>
      </c>
      <c r="L246" s="49">
        <v>0.0</v>
      </c>
      <c r="M246" s="49">
        <f>NORMDIST(F246,D157,D158,FALSE)</f>
        <v>0.000002337171461</v>
      </c>
      <c r="N246" s="77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2.75" customHeight="1">
      <c r="A247" s="49"/>
      <c r="B247" s="49"/>
      <c r="C247" s="49"/>
      <c r="D247" s="49"/>
      <c r="E247" s="49"/>
      <c r="F247" s="49">
        <f>F246+F293</f>
        <v>12.17</v>
      </c>
      <c r="G247" s="49"/>
      <c r="H247" s="49"/>
      <c r="I247" s="49">
        <f>NORMDIST(F247,D157,D158,FALSE)*(F294*10/M293)</f>
        <v>0.000001463343011</v>
      </c>
      <c r="J247" s="49"/>
      <c r="K247" s="49">
        <f>SUM(L242:L251)</f>
        <v>0</v>
      </c>
      <c r="L247" s="49">
        <v>0.0</v>
      </c>
      <c r="M247" s="49">
        <f>NORMDIST(F247,D157,D158,FALSE)</f>
        <v>0.000001463343011</v>
      </c>
      <c r="N247" s="77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2.75" customHeight="1">
      <c r="A248" s="49"/>
      <c r="B248" s="49"/>
      <c r="C248" s="49"/>
      <c r="D248" s="49"/>
      <c r="E248" s="49"/>
      <c r="F248" s="49">
        <f>F247+F293</f>
        <v>12.172</v>
      </c>
      <c r="G248" s="49"/>
      <c r="H248" s="49"/>
      <c r="I248" s="49">
        <f>NORMDIST(F248,D157,D158,FALSE)*(F294*10/M293)</f>
        <v>0.0000009099700306</v>
      </c>
      <c r="J248" s="49"/>
      <c r="K248" s="49">
        <f>SUM(L242:L251)</f>
        <v>0</v>
      </c>
      <c r="L248" s="49">
        <v>0.0</v>
      </c>
      <c r="M248" s="49">
        <f>NORMDIST(F248,D157,D158,FALSE)</f>
        <v>0.0000009099700306</v>
      </c>
      <c r="N248" s="77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2.75" customHeight="1">
      <c r="A249" s="49"/>
      <c r="B249" s="49"/>
      <c r="C249" s="49"/>
      <c r="D249" s="49"/>
      <c r="E249" s="49"/>
      <c r="F249" s="49">
        <f>F248+F293</f>
        <v>12.174</v>
      </c>
      <c r="G249" s="49"/>
      <c r="H249" s="49"/>
      <c r="I249" s="49">
        <f>NORMDIST(F249,D157,D158,FALSE)*(F294*10/M293)</f>
        <v>0.0000005619962654</v>
      </c>
      <c r="J249" s="49"/>
      <c r="K249" s="49">
        <f>SUM(L242:L251)</f>
        <v>0</v>
      </c>
      <c r="L249" s="49">
        <v>0.0</v>
      </c>
      <c r="M249" s="49">
        <f>NORMDIST(F249,D157,D158,FALSE)</f>
        <v>0.0000005619962654</v>
      </c>
      <c r="N249" s="77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2.75" customHeight="1">
      <c r="A250" s="49"/>
      <c r="B250" s="49"/>
      <c r="C250" s="49"/>
      <c r="D250" s="49"/>
      <c r="E250" s="49"/>
      <c r="F250" s="49">
        <f>F249+F293</f>
        <v>12.176</v>
      </c>
      <c r="G250" s="49"/>
      <c r="H250" s="49"/>
      <c r="I250" s="49">
        <f>NORMDIST(F250,D157,D158,FALSE)*(F294*10/M293)</f>
        <v>0.0000003447189501</v>
      </c>
      <c r="J250" s="49"/>
      <c r="K250" s="49">
        <f>SUM(L242:L251)</f>
        <v>0</v>
      </c>
      <c r="L250" s="49">
        <v>0.0</v>
      </c>
      <c r="M250" s="49">
        <f>NORMDIST(F250,D157,D158,FALSE)</f>
        <v>0.0000003447189501</v>
      </c>
      <c r="N250" s="77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2.75" customHeight="1">
      <c r="A251" s="49"/>
      <c r="B251" s="49"/>
      <c r="C251" s="49"/>
      <c r="D251" s="49"/>
      <c r="E251" s="49"/>
      <c r="F251" s="49">
        <f>F250+F293</f>
        <v>12.178</v>
      </c>
      <c r="G251" s="49"/>
      <c r="H251" s="49"/>
      <c r="I251" s="49">
        <f>NORMDIST(F251,D157,D158,FALSE)*(F294*10/M293)</f>
        <v>0.0000002100014415</v>
      </c>
      <c r="J251" s="49"/>
      <c r="K251" s="49">
        <f>SUM(L242:L251)</f>
        <v>0</v>
      </c>
      <c r="L251" s="49">
        <v>0.0</v>
      </c>
      <c r="M251" s="49">
        <f>NORMDIST(F251,D157,D158,FALSE)</f>
        <v>0.0000002100014415</v>
      </c>
      <c r="N251" s="77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2.75" customHeight="1">
      <c r="A252" s="49"/>
      <c r="B252" s="49"/>
      <c r="C252" s="49"/>
      <c r="D252" s="49"/>
      <c r="E252" s="49"/>
      <c r="F252" s="49">
        <f>F251+F293</f>
        <v>12.18</v>
      </c>
      <c r="G252" s="49">
        <f>IF(J252&gt;K252,J252,K252)</f>
        <v>0</v>
      </c>
      <c r="H252" s="49"/>
      <c r="I252" s="49">
        <f>NORMDIST(F252,D157,D158,FALSE)*(F294*10/M293)</f>
        <v>0.0000001270588095</v>
      </c>
      <c r="J252" s="49">
        <f>SUM(L252:L261)</f>
        <v>0</v>
      </c>
      <c r="K252" s="49">
        <f>SUM(L242:L251)</f>
        <v>0</v>
      </c>
      <c r="L252" s="49">
        <v>0.0</v>
      </c>
      <c r="M252" s="49">
        <f>NORMDIST(F252,D157,D158,FALSE)</f>
        <v>0.0000001270588095</v>
      </c>
      <c r="N252" s="77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2.75" customHeight="1">
      <c r="A253" s="49"/>
      <c r="B253" s="49"/>
      <c r="C253" s="49"/>
      <c r="D253" s="49"/>
      <c r="E253" s="49"/>
      <c r="F253" s="49">
        <f>F252+F293</f>
        <v>12.182</v>
      </c>
      <c r="G253" s="49"/>
      <c r="H253" s="49"/>
      <c r="I253" s="49">
        <f>NORMDIST(F253,D157,D158,FALSE)*(F294*10/M293)</f>
        <v>0.00000007635063905</v>
      </c>
      <c r="J253" s="49">
        <f>SUM(L252:L261)</f>
        <v>0</v>
      </c>
      <c r="K253" s="49"/>
      <c r="L253" s="49">
        <v>0.0</v>
      </c>
      <c r="M253" s="49">
        <f>NORMDIST(F253,D157,D158,FALSE)</f>
        <v>0.00000007635063905</v>
      </c>
      <c r="N253" s="77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2.75" customHeight="1">
      <c r="A254" s="49"/>
      <c r="B254" s="49"/>
      <c r="C254" s="49"/>
      <c r="D254" s="49"/>
      <c r="E254" s="49"/>
      <c r="F254" s="49">
        <f>F253+F293</f>
        <v>12.184</v>
      </c>
      <c r="G254" s="49"/>
      <c r="H254" s="49"/>
      <c r="I254" s="49">
        <f>NORMDIST(F254,D157,D158,FALSE)*(F294*10/M293)</f>
        <v>0.00000004556653024</v>
      </c>
      <c r="J254" s="49">
        <f>SUM(L252:L261)</f>
        <v>0</v>
      </c>
      <c r="K254" s="49"/>
      <c r="L254" s="49">
        <v>0.0</v>
      </c>
      <c r="M254" s="49">
        <f>NORMDIST(F254,D157,D158,FALSE)</f>
        <v>0.00000004556653024</v>
      </c>
      <c r="N254" s="77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2.75" customHeight="1">
      <c r="A255" s="49"/>
      <c r="B255" s="49"/>
      <c r="C255" s="49"/>
      <c r="D255" s="49"/>
      <c r="E255" s="49"/>
      <c r="F255" s="49">
        <f>F254+F293</f>
        <v>12.186</v>
      </c>
      <c r="G255" s="49"/>
      <c r="H255" s="49"/>
      <c r="I255" s="49">
        <f>NORMDIST(F255,D157,D158,FALSE)*(F294*10/M293)</f>
        <v>0.0000000270087591</v>
      </c>
      <c r="J255" s="49">
        <f>SUM(L252:L261)</f>
        <v>0</v>
      </c>
      <c r="K255" s="49"/>
      <c r="L255" s="49">
        <v>0.0</v>
      </c>
      <c r="M255" s="49">
        <f>NORMDIST(F255,D157,D158,FALSE)</f>
        <v>0.0000000270087591</v>
      </c>
      <c r="N255" s="77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2.75" customHeight="1">
      <c r="A256" s="49"/>
      <c r="B256" s="49"/>
      <c r="C256" s="49"/>
      <c r="D256" s="49"/>
      <c r="E256" s="49"/>
      <c r="F256" s="49">
        <f>F255+F293</f>
        <v>12.188</v>
      </c>
      <c r="G256" s="49"/>
      <c r="H256" s="49"/>
      <c r="I256" s="49">
        <f>NORMDIST(F256,D157,D158,FALSE)*(F294*10/M293)</f>
        <v>0.00000001589969127</v>
      </c>
      <c r="J256" s="49">
        <f>SUM(L252:L261)</f>
        <v>0</v>
      </c>
      <c r="K256" s="49"/>
      <c r="L256" s="49">
        <v>0.0</v>
      </c>
      <c r="M256" s="49">
        <f>NORMDIST(F256,D157,D158,FALSE)</f>
        <v>0.00000001589969127</v>
      </c>
      <c r="N256" s="77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2.75" customHeight="1">
      <c r="A257" s="49"/>
      <c r="B257" s="49"/>
      <c r="C257" s="49"/>
      <c r="D257" s="49"/>
      <c r="E257" s="49"/>
      <c r="F257" s="49">
        <f>F256+F293</f>
        <v>12.19</v>
      </c>
      <c r="G257" s="49"/>
      <c r="H257" s="49"/>
      <c r="I257" s="49">
        <f>NORMDIST(F257,D157,D158,FALSE)*(F294*10/M293)</f>
        <v>0.000000009296043354</v>
      </c>
      <c r="J257" s="49">
        <f>SUM(L252:L261)</f>
        <v>0</v>
      </c>
      <c r="K257" s="49"/>
      <c r="L257" s="49">
        <v>0.0</v>
      </c>
      <c r="M257" s="49">
        <f>NORMDIST(F257,D157,D158,FALSE)</f>
        <v>0.000000009296043354</v>
      </c>
      <c r="N257" s="77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2.75" customHeight="1">
      <c r="A258" s="49"/>
      <c r="B258" s="49"/>
      <c r="C258" s="49"/>
      <c r="D258" s="49"/>
      <c r="E258" s="49"/>
      <c r="F258" s="49">
        <f>F257+F293</f>
        <v>12.192</v>
      </c>
      <c r="G258" s="49"/>
      <c r="H258" s="49"/>
      <c r="I258" s="49">
        <f>NORMDIST(F258,D157,D158,FALSE)*(F294*10/M293)</f>
        <v>0.000000005398001215</v>
      </c>
      <c r="J258" s="49">
        <f>SUM(L252:L261)</f>
        <v>0</v>
      </c>
      <c r="K258" s="49"/>
      <c r="L258" s="49">
        <v>0.0</v>
      </c>
      <c r="M258" s="49">
        <f>NORMDIST(F258,D157,D158,FALSE)</f>
        <v>0.000000005398001215</v>
      </c>
      <c r="N258" s="77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2.75" customHeight="1">
      <c r="A259" s="49"/>
      <c r="B259" s="49"/>
      <c r="C259" s="49"/>
      <c r="D259" s="49"/>
      <c r="E259" s="49"/>
      <c r="F259" s="49">
        <f>F258+F293</f>
        <v>12.194</v>
      </c>
      <c r="G259" s="49"/>
      <c r="H259" s="49"/>
      <c r="I259" s="49">
        <f>NORMDIST(F259,D157,D158,FALSE)*(F294*10/M293)</f>
        <v>0.00000000311310095</v>
      </c>
      <c r="J259" s="49">
        <f>SUM(L252:L261)</f>
        <v>0</v>
      </c>
      <c r="K259" s="49"/>
      <c r="L259" s="49">
        <v>0.0</v>
      </c>
      <c r="M259" s="49">
        <f>NORMDIST(F259,D157,D158,FALSE)</f>
        <v>0.00000000311310095</v>
      </c>
      <c r="N259" s="77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2.75" customHeight="1">
      <c r="A260" s="49"/>
      <c r="B260" s="49"/>
      <c r="C260" s="49"/>
      <c r="D260" s="49"/>
      <c r="E260" s="49"/>
      <c r="F260" s="49">
        <f>F259+F293</f>
        <v>12.196</v>
      </c>
      <c r="G260" s="49"/>
      <c r="H260" s="49"/>
      <c r="I260" s="49">
        <f>NORMDIST(F260,D157,D158,FALSE)*(F294*10/M293)</f>
        <v>0.000000001783112804</v>
      </c>
      <c r="J260" s="49">
        <f>SUM(L252:L261)</f>
        <v>0</v>
      </c>
      <c r="K260" s="49"/>
      <c r="L260" s="49">
        <v>0.0</v>
      </c>
      <c r="M260" s="49">
        <f>NORMDIST(F260,D157,D158,FALSE)</f>
        <v>0.000000001783112804</v>
      </c>
      <c r="N260" s="77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2.75" customHeight="1">
      <c r="A261" s="49"/>
      <c r="B261" s="49"/>
      <c r="C261" s="49"/>
      <c r="D261" s="49"/>
      <c r="E261" s="49"/>
      <c r="F261" s="49">
        <f>F260+F293</f>
        <v>12.198</v>
      </c>
      <c r="G261" s="49"/>
      <c r="H261" s="49"/>
      <c r="I261" s="49">
        <f>NORMDIST(F261,D157,D158,FALSE)*(F294*10/M293)</f>
        <v>0.000000001014354644</v>
      </c>
      <c r="J261" s="49">
        <f>SUM(L252:L261)</f>
        <v>0</v>
      </c>
      <c r="K261" s="49"/>
      <c r="L261" s="49">
        <v>0.0</v>
      </c>
      <c r="M261" s="49">
        <f>NORMDIST(F261,D157,D158,FALSE)</f>
        <v>0.000000001014354644</v>
      </c>
      <c r="N261" s="77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2.75" customHeight="1">
      <c r="A262" s="49"/>
      <c r="B262" s="49"/>
      <c r="C262" s="49"/>
      <c r="D262" s="49"/>
      <c r="E262" s="49"/>
      <c r="F262" s="49">
        <f>F261+F293</f>
        <v>12.2</v>
      </c>
      <c r="G262" s="49">
        <f>IF(J262&gt;K262,J262,K262)</f>
        <v>0</v>
      </c>
      <c r="H262" s="49"/>
      <c r="I262" s="49">
        <f>NORMDIST(F262,D157,D158,FALSE)*(F294*10/M293)</f>
        <v>0.0000000005730944644</v>
      </c>
      <c r="J262" s="49">
        <f>SUM(L252:L261)</f>
        <v>0</v>
      </c>
      <c r="K262" s="49">
        <f>SUM(L262:L271)</f>
        <v>0</v>
      </c>
      <c r="L262" s="49">
        <v>0.0</v>
      </c>
      <c r="M262" s="49">
        <f>NORMDIST(F262,D157,D158,FALSE)</f>
        <v>0.0000000005730944644</v>
      </c>
      <c r="N262" s="77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2.75" customHeight="1">
      <c r="A263" s="49"/>
      <c r="B263" s="49"/>
      <c r="C263" s="49"/>
      <c r="D263" s="49"/>
      <c r="E263" s="49"/>
      <c r="F263" s="49">
        <f>F262+F293</f>
        <v>12.202</v>
      </c>
      <c r="G263" s="49"/>
      <c r="H263" s="49"/>
      <c r="I263" s="49">
        <f>NORMDIST(F263,D157,D158,FALSE)*(F294*10/M293)</f>
        <v>0.0000000003215792322</v>
      </c>
      <c r="J263" s="49"/>
      <c r="K263" s="49">
        <f>SUM(L262:L271)</f>
        <v>0</v>
      </c>
      <c r="L263" s="49">
        <v>0.0</v>
      </c>
      <c r="M263" s="49">
        <f>NORMDIST(F263,D157,D158,FALSE)</f>
        <v>0.0000000003215792322</v>
      </c>
      <c r="N263" s="77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2.75" customHeight="1">
      <c r="A264" s="49"/>
      <c r="B264" s="49"/>
      <c r="C264" s="49"/>
      <c r="D264" s="49"/>
      <c r="E264" s="49"/>
      <c r="F264" s="49">
        <f>F263+F293</f>
        <v>12.204</v>
      </c>
      <c r="G264" s="49"/>
      <c r="H264" s="49"/>
      <c r="I264" s="49">
        <f>NORMDIST(F264,D157,D158,FALSE)*(F294*10/M293)</f>
        <v>0.0000000001792153327</v>
      </c>
      <c r="J264" s="49"/>
      <c r="K264" s="49">
        <f>SUM(L262:L271)</f>
        <v>0</v>
      </c>
      <c r="L264" s="49">
        <v>0.0</v>
      </c>
      <c r="M264" s="49">
        <f>NORMDIST(F264,D157,D158,FALSE)</f>
        <v>0.0000000001792153327</v>
      </c>
      <c r="N264" s="77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2.75" customHeight="1">
      <c r="A265" s="49"/>
      <c r="B265" s="49"/>
      <c r="C265" s="49"/>
      <c r="D265" s="49"/>
      <c r="E265" s="49"/>
      <c r="F265" s="49">
        <f>F264+F293</f>
        <v>12.206</v>
      </c>
      <c r="G265" s="49"/>
      <c r="H265" s="49"/>
      <c r="I265" s="49">
        <f>NORMDIST(F265,D157,D158,FALSE)*(F294*10/M293)</f>
        <v>0</v>
      </c>
      <c r="J265" s="49"/>
      <c r="K265" s="49">
        <f>SUM(L262:L271)</f>
        <v>0</v>
      </c>
      <c r="L265" s="49">
        <v>0.0</v>
      </c>
      <c r="M265" s="49">
        <f>NORMDIST(F265,D157,D158,FALSE)</f>
        <v>0</v>
      </c>
      <c r="N265" s="77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2.75" customHeight="1">
      <c r="A266" s="49"/>
      <c r="B266" s="49"/>
      <c r="C266" s="49"/>
      <c r="D266" s="49"/>
      <c r="E266" s="49"/>
      <c r="F266" s="49">
        <f>F265+F293</f>
        <v>12.208</v>
      </c>
      <c r="G266" s="49"/>
      <c r="H266" s="49"/>
      <c r="I266" s="49">
        <f>NORMDIST(F266,D157,D158,FALSE)*(F294*10/M293)</f>
        <v>0</v>
      </c>
      <c r="J266" s="49"/>
      <c r="K266" s="49">
        <f>SUM(L262:L271)</f>
        <v>0</v>
      </c>
      <c r="L266" s="49">
        <v>0.0</v>
      </c>
      <c r="M266" s="49">
        <f>NORMDIST(F266,D157,D158,FALSE)</f>
        <v>0</v>
      </c>
      <c r="N266" s="77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2.75" customHeight="1">
      <c r="A267" s="49"/>
      <c r="B267" s="49"/>
      <c r="C267" s="49"/>
      <c r="D267" s="49"/>
      <c r="E267" s="49"/>
      <c r="F267" s="49">
        <f>F266+F293</f>
        <v>12.21</v>
      </c>
      <c r="G267" s="49"/>
      <c r="H267" s="49"/>
      <c r="I267" s="49">
        <f>NORMDIST(F267,D157,D158,FALSE)*(F294*10/M293)</f>
        <v>0</v>
      </c>
      <c r="J267" s="49"/>
      <c r="K267" s="49">
        <f>SUM(L262:L271)</f>
        <v>0</v>
      </c>
      <c r="L267" s="49">
        <v>0.0</v>
      </c>
      <c r="M267" s="49">
        <f>NORMDIST(F267,D157,D158,FALSE)</f>
        <v>0</v>
      </c>
      <c r="N267" s="77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2.75" customHeight="1">
      <c r="A268" s="49"/>
      <c r="B268" s="49"/>
      <c r="C268" s="49"/>
      <c r="D268" s="49"/>
      <c r="E268" s="49"/>
      <c r="F268" s="49">
        <f>F267+F293</f>
        <v>12.212</v>
      </c>
      <c r="G268" s="49"/>
      <c r="H268" s="49"/>
      <c r="I268" s="49">
        <f>NORMDIST(F268,D157,D158,FALSE)*(F294*10/M293)</f>
        <v>0</v>
      </c>
      <c r="J268" s="49"/>
      <c r="K268" s="49">
        <f>SUM(L262:L271)</f>
        <v>0</v>
      </c>
      <c r="L268" s="49">
        <v>0.0</v>
      </c>
      <c r="M268" s="49">
        <f>NORMDIST(F268,D157,D158,FALSE)</f>
        <v>0</v>
      </c>
      <c r="N268" s="77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2.75" customHeight="1">
      <c r="A269" s="49"/>
      <c r="B269" s="49"/>
      <c r="C269" s="49"/>
      <c r="D269" s="49"/>
      <c r="E269" s="49"/>
      <c r="F269" s="49">
        <f>F268+F293</f>
        <v>12.214</v>
      </c>
      <c r="G269" s="49"/>
      <c r="H269" s="49"/>
      <c r="I269" s="49">
        <f>NORMDIST(F269,D157,D158,FALSE)*(F294*10/M293)</f>
        <v>0</v>
      </c>
      <c r="J269" s="49"/>
      <c r="K269" s="49">
        <f>SUM(L262:L271)</f>
        <v>0</v>
      </c>
      <c r="L269" s="49">
        <v>0.0</v>
      </c>
      <c r="M269" s="49">
        <f>NORMDIST(F269,D157,D158,FALSE)</f>
        <v>0</v>
      </c>
      <c r="N269" s="77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2.75" customHeight="1">
      <c r="A270" s="49"/>
      <c r="B270" s="49"/>
      <c r="C270" s="49"/>
      <c r="D270" s="49"/>
      <c r="E270" s="49"/>
      <c r="F270" s="49">
        <f>F269+F293</f>
        <v>12.216</v>
      </c>
      <c r="G270" s="49"/>
      <c r="H270" s="49"/>
      <c r="I270" s="49">
        <f>NORMDIST(F270,D157,D158,FALSE)*(F294*10/M293)</f>
        <v>0</v>
      </c>
      <c r="J270" s="49"/>
      <c r="K270" s="49">
        <f>SUM(L262:L271)</f>
        <v>0</v>
      </c>
      <c r="L270" s="49">
        <v>0.0</v>
      </c>
      <c r="M270" s="49">
        <f>NORMDIST(F270,D157,D158,FALSE)</f>
        <v>0</v>
      </c>
      <c r="N270" s="77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2.75" customHeight="1">
      <c r="A271" s="49"/>
      <c r="B271" s="49"/>
      <c r="C271" s="49"/>
      <c r="D271" s="49"/>
      <c r="E271" s="49"/>
      <c r="F271" s="49">
        <f>F270+F293</f>
        <v>12.218</v>
      </c>
      <c r="G271" s="49"/>
      <c r="H271" s="49"/>
      <c r="I271" s="49">
        <f>NORMDIST(F271,D157,D158,FALSE)*(F294*10/M293)</f>
        <v>0</v>
      </c>
      <c r="J271" s="49"/>
      <c r="K271" s="49">
        <f>SUM(L262:L271)</f>
        <v>0</v>
      </c>
      <c r="L271" s="49">
        <v>0.0</v>
      </c>
      <c r="M271" s="49">
        <f>NORMDIST(F271,D157,D158,FALSE)</f>
        <v>0</v>
      </c>
      <c r="N271" s="77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2.75" customHeight="1">
      <c r="A272" s="49"/>
      <c r="B272" s="49"/>
      <c r="C272" s="49"/>
      <c r="D272" s="49"/>
      <c r="E272" s="49"/>
      <c r="F272" s="49">
        <f>F271+F293</f>
        <v>12.22</v>
      </c>
      <c r="G272" s="49">
        <f>IF(J272&gt;K272,J272,K272)</f>
        <v>0</v>
      </c>
      <c r="H272" s="49"/>
      <c r="I272" s="49">
        <f>NORMDIST(F272,D157,D158,FALSE)*(F294*10/M293)</f>
        <v>0</v>
      </c>
      <c r="J272" s="49">
        <f>SUM(L272:L281)</f>
        <v>0</v>
      </c>
      <c r="K272" s="49">
        <f>SUM(L262:L271)</f>
        <v>0</v>
      </c>
      <c r="L272" s="49">
        <v>0.0</v>
      </c>
      <c r="M272" s="49">
        <f>NORMDIST(F272,D157,D158,FALSE)</f>
        <v>0</v>
      </c>
      <c r="N272" s="77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2.75" customHeight="1">
      <c r="A273" s="49"/>
      <c r="B273" s="49"/>
      <c r="C273" s="49"/>
      <c r="D273" s="49"/>
      <c r="E273" s="49"/>
      <c r="F273" s="49">
        <f>F272+F293</f>
        <v>12.222</v>
      </c>
      <c r="G273" s="49"/>
      <c r="H273" s="49"/>
      <c r="I273" s="49">
        <f>NORMDIST(F273,D157,D158,FALSE)*(F294*10/M293)</f>
        <v>0</v>
      </c>
      <c r="J273" s="49">
        <f>SUM(L272:L281)</f>
        <v>0</v>
      </c>
      <c r="K273" s="49"/>
      <c r="L273" s="49">
        <v>0.0</v>
      </c>
      <c r="M273" s="49">
        <f>NORMDIST(F273,D157,D158,FALSE)</f>
        <v>0</v>
      </c>
      <c r="N273" s="77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2.75" customHeight="1">
      <c r="A274" s="49"/>
      <c r="B274" s="49"/>
      <c r="C274" s="49"/>
      <c r="D274" s="49"/>
      <c r="E274" s="49"/>
      <c r="F274" s="49">
        <f>F273+F293</f>
        <v>12.224</v>
      </c>
      <c r="G274" s="49"/>
      <c r="H274" s="49"/>
      <c r="I274" s="49">
        <f>NORMDIST(F274,D157,D158,FALSE)*(F294*10/M293)</f>
        <v>0</v>
      </c>
      <c r="J274" s="49">
        <f>SUM(L272:L281)</f>
        <v>0</v>
      </c>
      <c r="K274" s="49"/>
      <c r="L274" s="49">
        <v>0.0</v>
      </c>
      <c r="M274" s="49">
        <f>NORMDIST(F274,D157,D158,FALSE)</f>
        <v>0</v>
      </c>
      <c r="N274" s="77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2.75" customHeight="1">
      <c r="A275" s="49"/>
      <c r="B275" s="49"/>
      <c r="C275" s="49"/>
      <c r="D275" s="49"/>
      <c r="E275" s="49"/>
      <c r="F275" s="49">
        <f>F274+F293</f>
        <v>12.226</v>
      </c>
      <c r="G275" s="49"/>
      <c r="H275" s="49"/>
      <c r="I275" s="49">
        <f>NORMDIST(F275,D157,D158,FALSE)*(F294*10/M293)</f>
        <v>0</v>
      </c>
      <c r="J275" s="49">
        <f>SUM(L272:L281)</f>
        <v>0</v>
      </c>
      <c r="K275" s="49"/>
      <c r="L275" s="49">
        <v>0.0</v>
      </c>
      <c r="M275" s="49">
        <f>NORMDIST(F275,D157,D158,FALSE)</f>
        <v>0</v>
      </c>
      <c r="N275" s="77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2.75" customHeight="1">
      <c r="A276" s="49"/>
      <c r="B276" s="49"/>
      <c r="C276" s="49"/>
      <c r="D276" s="49"/>
      <c r="E276" s="49"/>
      <c r="F276" s="49">
        <f>F275+F293</f>
        <v>12.228</v>
      </c>
      <c r="G276" s="49"/>
      <c r="H276" s="49"/>
      <c r="I276" s="49">
        <f>NORMDIST(F276,D157,D158,FALSE)*(F294*10/M293)</f>
        <v>0</v>
      </c>
      <c r="J276" s="49">
        <f>SUM(L272:L281)</f>
        <v>0</v>
      </c>
      <c r="K276" s="49"/>
      <c r="L276" s="49">
        <v>0.0</v>
      </c>
      <c r="M276" s="49">
        <f>NORMDIST(F276,D157,D158,FALSE)</f>
        <v>0</v>
      </c>
      <c r="N276" s="77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2.75" customHeight="1">
      <c r="A277" s="49"/>
      <c r="B277" s="49"/>
      <c r="C277" s="49"/>
      <c r="D277" s="49"/>
      <c r="E277" s="49"/>
      <c r="F277" s="49">
        <f>F276+F293</f>
        <v>12.23</v>
      </c>
      <c r="G277" s="49"/>
      <c r="H277" s="49"/>
      <c r="I277" s="49">
        <f>NORMDIST(F277,D157,D158,FALSE)*(F294*10/M293)</f>
        <v>0</v>
      </c>
      <c r="J277" s="49">
        <f>SUM(L272:L281)</f>
        <v>0</v>
      </c>
      <c r="K277" s="49"/>
      <c r="L277" s="49">
        <v>0.0</v>
      </c>
      <c r="M277" s="49">
        <f>NORMDIST(F277,D157,D158,FALSE)</f>
        <v>0</v>
      </c>
      <c r="N277" s="77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2.75" customHeight="1">
      <c r="A278" s="49"/>
      <c r="B278" s="49"/>
      <c r="C278" s="49"/>
      <c r="D278" s="49"/>
      <c r="E278" s="49"/>
      <c r="F278" s="49">
        <f>F277+F293</f>
        <v>12.232</v>
      </c>
      <c r="G278" s="49"/>
      <c r="H278" s="49"/>
      <c r="I278" s="49">
        <f>NORMDIST(F278,D157,D158,FALSE)*(F294*10/M293)</f>
        <v>0</v>
      </c>
      <c r="J278" s="49">
        <f>SUM(L272:L281)</f>
        <v>0</v>
      </c>
      <c r="K278" s="49"/>
      <c r="L278" s="49">
        <v>0.0</v>
      </c>
      <c r="M278" s="49">
        <f>NORMDIST(F278,D157,D158,FALSE)</f>
        <v>0</v>
      </c>
      <c r="N278" s="77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2.75" customHeight="1">
      <c r="A279" s="49"/>
      <c r="B279" s="49"/>
      <c r="C279" s="49"/>
      <c r="D279" s="49"/>
      <c r="E279" s="49"/>
      <c r="F279" s="49">
        <f>F278+F293</f>
        <v>12.234</v>
      </c>
      <c r="G279" s="49"/>
      <c r="H279" s="49"/>
      <c r="I279" s="49">
        <f>NORMDIST(F279,D157,D158,FALSE)*(F294*10/M293)</f>
        <v>0</v>
      </c>
      <c r="J279" s="49">
        <f>SUM(L272:L281)</f>
        <v>0</v>
      </c>
      <c r="K279" s="49"/>
      <c r="L279" s="49">
        <v>0.0</v>
      </c>
      <c r="M279" s="49">
        <f>NORMDIST(F279,D157,D158,FALSE)</f>
        <v>0</v>
      </c>
      <c r="N279" s="77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2.75" customHeight="1">
      <c r="A280" s="49"/>
      <c r="B280" s="49"/>
      <c r="C280" s="49"/>
      <c r="D280" s="49"/>
      <c r="E280" s="49"/>
      <c r="F280" s="49">
        <f>F279+F293</f>
        <v>12.236</v>
      </c>
      <c r="G280" s="49"/>
      <c r="H280" s="49"/>
      <c r="I280" s="49">
        <f>NORMDIST(F280,D157,D158,FALSE)*(F294*10/M293)</f>
        <v>0</v>
      </c>
      <c r="J280" s="49">
        <f>SUM(L272:L281)</f>
        <v>0</v>
      </c>
      <c r="K280" s="49"/>
      <c r="L280" s="49">
        <v>0.0</v>
      </c>
      <c r="M280" s="49">
        <f>NORMDIST(F280,D157,D158,FALSE)</f>
        <v>0</v>
      </c>
      <c r="N280" s="77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2.75" customHeight="1">
      <c r="A281" s="49"/>
      <c r="B281" s="49"/>
      <c r="C281" s="49"/>
      <c r="D281" s="49"/>
      <c r="E281" s="49"/>
      <c r="F281" s="49">
        <f>F280+F293</f>
        <v>12.238</v>
      </c>
      <c r="G281" s="49"/>
      <c r="H281" s="49"/>
      <c r="I281" s="49">
        <f>NORMDIST(F281,D157,D158,FALSE)*(F294*10/M293)</f>
        <v>0</v>
      </c>
      <c r="J281" s="49">
        <f>SUM(L272:L281)</f>
        <v>0</v>
      </c>
      <c r="K281" s="49"/>
      <c r="L281" s="49">
        <v>0.0</v>
      </c>
      <c r="M281" s="49">
        <f>NORMDIST(F281,D157,D158,FALSE)</f>
        <v>0</v>
      </c>
      <c r="N281" s="77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2.75" customHeight="1">
      <c r="A282" s="49"/>
      <c r="B282" s="49"/>
      <c r="C282" s="49"/>
      <c r="D282" s="49"/>
      <c r="E282" s="49"/>
      <c r="F282" s="49">
        <f>F281+F293</f>
        <v>12.24</v>
      </c>
      <c r="G282" s="49">
        <f>IF(J282&gt;K282,J282,K282)</f>
        <v>0</v>
      </c>
      <c r="H282" s="49"/>
      <c r="I282" s="49">
        <f>NORMDIST(F282,D157,D158,FALSE)*(F294*10/M293)</f>
        <v>0</v>
      </c>
      <c r="J282" s="49">
        <f>SUM(L272:L281)</f>
        <v>0</v>
      </c>
      <c r="K282" s="49">
        <f>SUM(L282:L291)</f>
        <v>0</v>
      </c>
      <c r="L282" s="49">
        <v>0.0</v>
      </c>
      <c r="M282" s="49">
        <f>NORMDIST(F282,D157,D158,FALSE)</f>
        <v>0</v>
      </c>
      <c r="N282" s="77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2.75" customHeight="1">
      <c r="A283" s="49"/>
      <c r="B283" s="49"/>
      <c r="C283" s="49"/>
      <c r="D283" s="49"/>
      <c r="E283" s="49"/>
      <c r="F283" s="49">
        <f>F282+F293</f>
        <v>12.242</v>
      </c>
      <c r="G283" s="49"/>
      <c r="H283" s="49"/>
      <c r="I283" s="49">
        <f>NORMDIST(F283,D157,D158,FALSE)*(F294*10/M293)</f>
        <v>0</v>
      </c>
      <c r="J283" s="49"/>
      <c r="K283" s="49">
        <f>SUM(L282:L291)</f>
        <v>0</v>
      </c>
      <c r="L283" s="49">
        <v>0.0</v>
      </c>
      <c r="M283" s="49">
        <f>NORMDIST(F283,D157,D158,FALSE)</f>
        <v>0</v>
      </c>
      <c r="N283" s="77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2.75" customHeight="1">
      <c r="A284" s="49"/>
      <c r="B284" s="49"/>
      <c r="C284" s="49"/>
      <c r="D284" s="49"/>
      <c r="E284" s="49"/>
      <c r="F284" s="49">
        <f>F283+F293</f>
        <v>12.244</v>
      </c>
      <c r="G284" s="49"/>
      <c r="H284" s="49"/>
      <c r="I284" s="49">
        <f>NORMDIST(F284,D157,D158,FALSE)*(F294*10/M293)</f>
        <v>0</v>
      </c>
      <c r="J284" s="49"/>
      <c r="K284" s="49">
        <f>SUM(L282:L291)</f>
        <v>0</v>
      </c>
      <c r="L284" s="49">
        <v>0.0</v>
      </c>
      <c r="M284" s="49">
        <f>NORMDIST(F284,D157,D158,FALSE)</f>
        <v>0</v>
      </c>
      <c r="N284" s="77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2.75" customHeight="1">
      <c r="A285" s="49"/>
      <c r="B285" s="49"/>
      <c r="C285" s="49"/>
      <c r="D285" s="49"/>
      <c r="E285" s="49"/>
      <c r="F285" s="49">
        <f>F284+F293</f>
        <v>12.246</v>
      </c>
      <c r="G285" s="49"/>
      <c r="H285" s="49"/>
      <c r="I285" s="49">
        <f>NORMDIST(F285,D157,D158,FALSE)*(F294*10/M293)</f>
        <v>0</v>
      </c>
      <c r="J285" s="49"/>
      <c r="K285" s="49">
        <f>SUM(L282:L291)</f>
        <v>0</v>
      </c>
      <c r="L285" s="49">
        <v>0.0</v>
      </c>
      <c r="M285" s="49">
        <f>NORMDIST(F285,D157,D158,FALSE)</f>
        <v>0</v>
      </c>
      <c r="N285" s="77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2.75" customHeight="1">
      <c r="A286" s="49"/>
      <c r="B286" s="49"/>
      <c r="C286" s="49"/>
      <c r="D286" s="49"/>
      <c r="E286" s="49"/>
      <c r="F286" s="49">
        <f>F285+F293</f>
        <v>12.248</v>
      </c>
      <c r="G286" s="49"/>
      <c r="H286" s="49"/>
      <c r="I286" s="49">
        <f>NORMDIST(F286,D157,D158,FALSE)*(F294*10/M293)</f>
        <v>0</v>
      </c>
      <c r="J286" s="49"/>
      <c r="K286" s="49">
        <f>SUM(L282:L291)</f>
        <v>0</v>
      </c>
      <c r="L286" s="49">
        <v>0.0</v>
      </c>
      <c r="M286" s="49">
        <f>NORMDIST(F286,D157,D158,FALSE)</f>
        <v>0</v>
      </c>
      <c r="N286" s="77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2.75" customHeight="1">
      <c r="A287" s="49"/>
      <c r="B287" s="49"/>
      <c r="C287" s="49"/>
      <c r="D287" s="49"/>
      <c r="E287" s="49"/>
      <c r="F287" s="49">
        <f>F286+F293</f>
        <v>12.25</v>
      </c>
      <c r="G287" s="49"/>
      <c r="H287" s="49"/>
      <c r="I287" s="49">
        <f>NORMDIST(F287,D157,D158,FALSE)*(F294*10/M293)</f>
        <v>0</v>
      </c>
      <c r="J287" s="49"/>
      <c r="K287" s="49">
        <f>SUM(L282:L291)</f>
        <v>0</v>
      </c>
      <c r="L287" s="49">
        <v>0.0</v>
      </c>
      <c r="M287" s="49">
        <f>NORMDIST(F287,D157,D158,FALSE)</f>
        <v>0</v>
      </c>
      <c r="N287" s="77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2.75" customHeight="1">
      <c r="A288" s="49"/>
      <c r="B288" s="49"/>
      <c r="C288" s="49"/>
      <c r="D288" s="49"/>
      <c r="E288" s="49"/>
      <c r="F288" s="49">
        <f>F287+F293</f>
        <v>12.252</v>
      </c>
      <c r="G288" s="49"/>
      <c r="H288" s="49"/>
      <c r="I288" s="49">
        <f>NORMDIST(F288,D157,D158,FALSE)*(F294*10/M293)</f>
        <v>0</v>
      </c>
      <c r="J288" s="49"/>
      <c r="K288" s="49">
        <f>SUM(L282:L291)</f>
        <v>0</v>
      </c>
      <c r="L288" s="49">
        <v>0.0</v>
      </c>
      <c r="M288" s="49">
        <f>NORMDIST(F288,D157,D158,FALSE)</f>
        <v>0</v>
      </c>
      <c r="N288" s="77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2.75" customHeight="1">
      <c r="A289" s="49"/>
      <c r="B289" s="49"/>
      <c r="C289" s="49"/>
      <c r="D289" s="49"/>
      <c r="E289" s="49"/>
      <c r="F289" s="49">
        <f>F288+F293</f>
        <v>12.254</v>
      </c>
      <c r="G289" s="49"/>
      <c r="H289" s="49"/>
      <c r="I289" s="49">
        <f>NORMDIST(F289,D157,D158,FALSE)*(F294*10/M293)</f>
        <v>0</v>
      </c>
      <c r="J289" s="49"/>
      <c r="K289" s="49">
        <f>SUM(L282:L291)</f>
        <v>0</v>
      </c>
      <c r="L289" s="49">
        <v>0.0</v>
      </c>
      <c r="M289" s="49">
        <f>NORMDIST(F289,D157,D158,FALSE)</f>
        <v>0</v>
      </c>
      <c r="N289" s="77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2.75" customHeight="1">
      <c r="A290" s="49"/>
      <c r="B290" s="49"/>
      <c r="C290" s="49"/>
      <c r="D290" s="49"/>
      <c r="E290" s="49"/>
      <c r="F290" s="49">
        <f>F289+F293</f>
        <v>12.256</v>
      </c>
      <c r="G290" s="49"/>
      <c r="H290" s="49"/>
      <c r="I290" s="49">
        <f>NORMDIST(F290,D157,D158,FALSE)*(F294*10/M293)</f>
        <v>0</v>
      </c>
      <c r="J290" s="49"/>
      <c r="K290" s="49">
        <f>SUM(L282:L291)</f>
        <v>0</v>
      </c>
      <c r="L290" s="49">
        <v>0.0</v>
      </c>
      <c r="M290" s="49">
        <f>NORMDIST(F290,D157,D158,FALSE)</f>
        <v>0</v>
      </c>
      <c r="N290" s="77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2.75" customHeight="1">
      <c r="A291" s="49"/>
      <c r="B291" s="49"/>
      <c r="C291" s="49"/>
      <c r="D291" s="49"/>
      <c r="E291" s="49"/>
      <c r="F291" s="49">
        <f>F290+F293</f>
        <v>12.258</v>
      </c>
      <c r="G291" s="49"/>
      <c r="H291" s="49"/>
      <c r="I291" s="49">
        <f>NORMDIST(F291,D157,D158,FALSE)*(F294*10/M293)</f>
        <v>0</v>
      </c>
      <c r="J291" s="49"/>
      <c r="K291" s="49">
        <f>SUM(L282:L291)</f>
        <v>0</v>
      </c>
      <c r="L291" s="49">
        <v>0.0</v>
      </c>
      <c r="M291" s="49">
        <f>NORMDIST(F291,D157,D158,FALSE)</f>
        <v>0</v>
      </c>
      <c r="N291" s="77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2.75" customHeight="1">
      <c r="A292" s="49"/>
      <c r="B292" s="49"/>
      <c r="C292" s="49"/>
      <c r="D292" s="49"/>
      <c r="E292" s="49"/>
      <c r="F292" s="49">
        <f>F291+F293</f>
        <v>12.26</v>
      </c>
      <c r="G292" s="49">
        <f>K291</f>
        <v>0</v>
      </c>
      <c r="H292" s="49"/>
      <c r="I292" s="49">
        <f>NORMDIST(F292,D157,D158,FALSE)*(F294*10/M293)</f>
        <v>0</v>
      </c>
      <c r="J292" s="49"/>
      <c r="K292" s="49">
        <f>SUM(L282:L291)</f>
        <v>0</v>
      </c>
      <c r="L292" s="49">
        <v>0.0</v>
      </c>
      <c r="M292" s="49">
        <f>NORMDIST(F292,D157,D158,FALSE)</f>
        <v>0</v>
      </c>
      <c r="N292" s="77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2.75" customHeight="1">
      <c r="A293" s="49"/>
      <c r="B293" s="49"/>
      <c r="C293" s="49"/>
      <c r="D293" s="49"/>
      <c r="E293" s="49"/>
      <c r="F293" s="49">
        <f>IF(P6="C",(D157-L6)/50,(H6-L6)/100)</f>
        <v>0.002</v>
      </c>
      <c r="G293" s="49">
        <f>MAX(G52:G292)</f>
        <v>18</v>
      </c>
      <c r="H293" s="49"/>
      <c r="I293" s="49">
        <f>ROUND(MAX(I52:I292),0)</f>
        <v>17</v>
      </c>
      <c r="J293" s="49"/>
      <c r="K293" s="49"/>
      <c r="L293" s="49">
        <f>F294-SUM(L52:L292)</f>
        <v>0</v>
      </c>
      <c r="M293" s="49">
        <f>SUM(M52:M292)</f>
        <v>500</v>
      </c>
      <c r="N293" s="77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2.75" customHeight="1">
      <c r="A294" s="49"/>
      <c r="B294" s="49"/>
      <c r="C294" s="49"/>
      <c r="D294" s="49"/>
      <c r="E294" s="49"/>
      <c r="F294" s="80" t="str">
        <f>FIXED(100-COUNTBLANK(D9:M18),0,0)</f>
        <v>50</v>
      </c>
      <c r="G294" s="49"/>
      <c r="H294" s="49"/>
      <c r="I294" s="49"/>
      <c r="J294" s="49"/>
      <c r="K294" s="49"/>
      <c r="L294" s="49"/>
      <c r="M294" s="49"/>
      <c r="N294" s="77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2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2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2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2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2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2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2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2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2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2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2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2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2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2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2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2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2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2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2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2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2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2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2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2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2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2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2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2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2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2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2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2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2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2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2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2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2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2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2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7">
    <mergeCell ref="I20:J20"/>
    <mergeCell ref="L20:M20"/>
    <mergeCell ref="N20:O20"/>
    <mergeCell ref="P20:R20"/>
    <mergeCell ref="B15:C15"/>
    <mergeCell ref="B16:C16"/>
    <mergeCell ref="B17:C17"/>
    <mergeCell ref="B18:C18"/>
    <mergeCell ref="A20:B20"/>
    <mergeCell ref="C20:D20"/>
    <mergeCell ref="F20:G20"/>
    <mergeCell ref="A22:E22"/>
    <mergeCell ref="F22:R22"/>
    <mergeCell ref="B23:Q23"/>
    <mergeCell ref="B35:Q35"/>
    <mergeCell ref="A21:B21"/>
    <mergeCell ref="C21:D21"/>
    <mergeCell ref="F21:G21"/>
    <mergeCell ref="I21:J21"/>
    <mergeCell ref="L21:M21"/>
    <mergeCell ref="N21:O21"/>
    <mergeCell ref="P21:R21"/>
    <mergeCell ref="K4:M4"/>
    <mergeCell ref="N4:R4"/>
    <mergeCell ref="A2:M3"/>
    <mergeCell ref="N2:O2"/>
    <mergeCell ref="P2:R2"/>
    <mergeCell ref="N3:O3"/>
    <mergeCell ref="P3:R3"/>
    <mergeCell ref="A4:C4"/>
    <mergeCell ref="D4:E4"/>
    <mergeCell ref="F4:G4"/>
    <mergeCell ref="H4:J4"/>
    <mergeCell ref="D5:G5"/>
    <mergeCell ref="H5:J5"/>
    <mergeCell ref="K5:M5"/>
    <mergeCell ref="N5:O5"/>
    <mergeCell ref="P5:R5"/>
    <mergeCell ref="A5:C5"/>
    <mergeCell ref="A6:C6"/>
    <mergeCell ref="D6:E6"/>
    <mergeCell ref="F6:G6"/>
    <mergeCell ref="H6:I6"/>
    <mergeCell ref="J6:K6"/>
    <mergeCell ref="L6:M6"/>
    <mergeCell ref="N11:O12"/>
    <mergeCell ref="N13:O14"/>
    <mergeCell ref="P13:P14"/>
    <mergeCell ref="Q13:Q18"/>
    <mergeCell ref="N15:O16"/>
    <mergeCell ref="P15:P16"/>
    <mergeCell ref="N17:O18"/>
    <mergeCell ref="P17:P18"/>
    <mergeCell ref="N6:O6"/>
    <mergeCell ref="Q6:R6"/>
    <mergeCell ref="N8:Q8"/>
    <mergeCell ref="N9:O10"/>
    <mergeCell ref="P9:P10"/>
    <mergeCell ref="Q9:Q12"/>
    <mergeCell ref="P11:P12"/>
    <mergeCell ref="B8:C8"/>
    <mergeCell ref="B9:C9"/>
    <mergeCell ref="B10:C10"/>
    <mergeCell ref="B11:C11"/>
    <mergeCell ref="B12:C12"/>
    <mergeCell ref="B13:C13"/>
    <mergeCell ref="B14:C14"/>
  </mergeCells>
  <printOptions/>
  <pageMargins bottom="0.75" footer="0.0" header="0.0" left="0.7" right="0.7" top="0.75"/>
  <pageSetup orientation="landscape"/>
  <drawing r:id="rId2"/>
  <legacyDrawing r:id="rId3"/>
</worksheet>
</file>