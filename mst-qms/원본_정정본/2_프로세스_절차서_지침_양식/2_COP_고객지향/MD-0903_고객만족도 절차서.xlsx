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</sheets>
  <definedNames/>
  <calcPr/>
</workbook>
</file>

<file path=xl/sharedStrings.xml><?xml version="1.0" encoding="utf-8"?>
<sst xmlns="http://schemas.openxmlformats.org/spreadsheetml/2006/main" count="149" uniqueCount="136">
  <si>
    <t>고객지향관리(COP) 프로세스</t>
  </si>
  <si>
    <t>문서번호</t>
  </si>
  <si>
    <t>고객만족도 관리 절차서</t>
  </si>
  <si>
    <t>MD-0903</t>
  </si>
  <si>
    <t>상위 프로세스</t>
  </si>
  <si>
    <t>고객만족도 프로세스</t>
  </si>
  <si>
    <t>프로세스의 적용 범위</t>
  </si>
  <si>
    <t>본 절차서는 당사에서 생산되는 제품에 대한 내/외부 고객만족도 평가 활동에 대하여 적용한다.</t>
  </si>
  <si>
    <t>프로세스의 목적</t>
  </si>
  <si>
    <t>본 프로세스는 당사에서 생산되는 제품에 대한 내/외부 고객만족도 평가 활동을 통해 제품</t>
  </si>
  <si>
    <t>, 서비스, 이미지 등을 부각시키고 내/외부 고객만족도를 정기적으로 점검하여 고객감동을 추구하는</t>
  </si>
  <si>
    <t xml:space="preserve"> 시스템을 구축하는데 그 목적이 있다.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</si>
  <si>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</si>
  <si>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>품질팀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</si>
  <si>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</si>
  <si>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성과지표</t>
  </si>
  <si>
    <t>산출방법</t>
  </si>
  <si>
    <t>주관부서</t>
  </si>
  <si>
    <t>측정방법</t>
  </si>
  <si>
    <t>주기</t>
  </si>
  <si>
    <t>고객불량 건수 목표달성률</t>
  </si>
  <si>
    <t>(목표 건수 / 발생 건수) x 100</t>
  </si>
  <si>
    <t>보고서</t>
  </si>
  <si>
    <t>매월</t>
  </si>
  <si>
    <t>필요자원</t>
  </si>
  <si>
    <t>(1) 인적</t>
  </si>
  <si>
    <t xml:space="preserve"> A.생산품질담당, 설계담당 외 각 부서 팀장 및 담당자</t>
  </si>
  <si>
    <t xml:space="preserve"> B.고객</t>
  </si>
  <si>
    <t>(2) 물적</t>
  </si>
  <si>
    <t xml:space="preserve"> A.고객지정 C/Sheet, Internet, PC</t>
  </si>
  <si>
    <t xml:space="preserve"> B.고객만족도 내외부 평가 시스템</t>
  </si>
  <si>
    <t>관련 프로세스
(프로세스.지침,지시서)</t>
  </si>
  <si>
    <t xml:space="preserve"> A. 부적합 및 시정조치, 경영관리 프로세스, 지속적 개선 프로세스</t>
  </si>
  <si>
    <t xml:space="preserve"> </t>
  </si>
  <si>
    <t xml:space="preserve"> ※ 개정이력</t>
  </si>
  <si>
    <t>NO.</t>
  </si>
  <si>
    <t>일자</t>
  </si>
  <si>
    <t>제.개정 내용</t>
  </si>
  <si>
    <t>작성</t>
  </si>
  <si>
    <t>검토</t>
  </si>
  <si>
    <t>승인</t>
  </si>
  <si>
    <t>ISO 9001:2015 최초 작성</t>
  </si>
  <si>
    <t>결재 完</t>
  </si>
  <si>
    <t>문서 번호</t>
  </si>
  <si>
    <t>MD-0903</t>
  </si>
  <si>
    <t>쪽</t>
  </si>
  <si>
    <t>제정일자</t>
  </si>
  <si>
    <t>개정 번호</t>
  </si>
  <si>
    <t>개정 일자</t>
  </si>
  <si>
    <t>시행일자</t>
  </si>
  <si>
    <t>구분</t>
  </si>
  <si>
    <t>IN PUT</t>
  </si>
  <si>
    <t>승인권자</t>
  </si>
  <si>
    <t>고객
(내/외부고객)</t>
  </si>
  <si>
    <t>주  관  팀</t>
  </si>
  <si>
    <t>OUT PUT</t>
  </si>
  <si>
    <t>관리팀</t>
  </si>
  <si>
    <t>PLAN</t>
  </si>
  <si>
    <t>※품질경영 시스템</t>
  </si>
  <si>
    <t xml:space="preserve">고객 요구 사항
</t>
  </si>
  <si>
    <t xml:space="preserve">고객만족도 관리사항    </t>
  </si>
  <si>
    <t>고객만족조사 일정</t>
  </si>
  <si>
    <t xml:space="preserve">고객만족조사 항목   </t>
  </si>
  <si>
    <t xml:space="preserve">*고객 요구사항 </t>
  </si>
  <si>
    <t>목표 지수</t>
  </si>
  <si>
    <t>이전 조사결과</t>
  </si>
  <si>
    <t>조사 항목의 선정</t>
  </si>
  <si>
    <t>고객 만족 관련 항목</t>
  </si>
  <si>
    <t>조사 방법</t>
  </si>
  <si>
    <t>*고객만족 조사항목</t>
  </si>
  <si>
    <t>*시행계획서(품의서)</t>
  </si>
  <si>
    <t>고객만족 조사일정</t>
  </si>
  <si>
    <t>고객만족 조사방법</t>
  </si>
  <si>
    <t>DO</t>
  </si>
  <si>
    <t>*외부고객만족평가표</t>
  </si>
  <si>
    <t>*외부고객 평가자료</t>
  </si>
  <si>
    <t>*내부고객만족평가표</t>
  </si>
  <si>
    <t>내부고객 평가자료</t>
  </si>
  <si>
    <t>*조사결과 내용</t>
  </si>
  <si>
    <t>*고객만족도 분석</t>
  </si>
  <si>
    <t>결과(품의서)</t>
  </si>
  <si>
    <t>C</t>
  </si>
  <si>
    <t>*고객만족도조사결과</t>
  </si>
  <si>
    <t>ACTION</t>
  </si>
  <si>
    <t>*고객만족도 조사결과</t>
  </si>
  <si>
    <t>* 경영검토 자료</t>
  </si>
  <si>
    <t>1. 용어의 정의</t>
  </si>
  <si>
    <t xml:space="preserve">1. 1 외부고객 만족도 조사 </t>
  </si>
  <si>
    <t xml:space="preserve">    고객이 당사에 대하여 관리대상인 평가항목을 계수화하여 고객만족에 대한  </t>
  </si>
  <si>
    <t xml:space="preserve">    종합적인 판단 자료로 활용하기 위한 조사를 말한다.</t>
  </si>
  <si>
    <t xml:space="preserve">1. 2 내부고객 만족도 조사 </t>
  </si>
  <si>
    <t xml:space="preserve">    사원들이 당사에 대하여 느끼는 평가항목을 설문조사 또는 계수화하여 사원들 만족에   </t>
  </si>
  <si>
    <t xml:space="preserve">    대한  종합적인 판단자료로 활용하기 위한 조사를 말한다. </t>
  </si>
  <si>
    <t>2. 목표지수 선정 방법</t>
  </si>
  <si>
    <t xml:space="preserve">     해당부서는 경영관리 프로세스(MP-0401)에 따라 아래와 </t>
  </si>
  <si>
    <t xml:space="preserve">     같이 고객만족도의 해당항목을 고객만족도 평가를 위해 사업계획서에 반영하고 </t>
  </si>
  <si>
    <t xml:space="preserve">    성과지표로 활용한다. </t>
  </si>
  <si>
    <t xml:space="preserve">     [아래]</t>
  </si>
  <si>
    <t>2. 1 고객만족도 관리 항목 (외부)</t>
  </si>
  <si>
    <t xml:space="preserve">       품질 : 사내불량률(조립/가공), LINE CLAIM(금액/건수), FIELD CLAIM(금액/건수)</t>
  </si>
  <si>
    <t xml:space="preserve">       가격 : 재료비 원가절감액, 생산성 향상, 연구개발 비율</t>
  </si>
  <si>
    <t xml:space="preserve">       경영 : LINE 중단율, 매출액, 인당 매출액, 매출액 경상 이익률</t>
  </si>
  <si>
    <t xml:space="preserve">       납기 : 납품률</t>
  </si>
  <si>
    <t>2. 2 고객만족도 관리 항목 (내부)</t>
  </si>
  <si>
    <t xml:space="preserve">      본인의 업무만족도/상하간 의사소통/복리후생/대인관계등</t>
  </si>
  <si>
    <t>3. 고객 만족도 조사유형</t>
  </si>
  <si>
    <t xml:space="preserve">     - 고객과의 인터뷰</t>
  </si>
  <si>
    <t xml:space="preserve">     - 고객과의 통신 및 우편발송</t>
  </si>
  <si>
    <t xml:space="preserve">     - 고객 GROUP과의 MEETING</t>
  </si>
  <si>
    <t xml:space="preserve">     - 과거자료 분석</t>
  </si>
  <si>
    <t xml:space="preserve">     *고객만족도 유형은 상기사항 전부를 활용할 수 있으며 이중 한가지를 선택하여 </t>
  </si>
  <si>
    <t xml:space="preserve">      적용 한다.</t>
  </si>
  <si>
    <r>
      <rPr>
        <rFont val="Malgun Gothic"/>
        <color theme="1"/>
        <sz val="9.0"/>
      </rPr>
      <t xml:space="preserve"> </t>
    </r>
    <r>
      <rPr>
        <rFont val="맑은 고딕"/>
        <b/>
        <color theme="1"/>
        <sz val="9.0"/>
      </rPr>
      <t>4. 평가항목 설정 방법</t>
    </r>
  </si>
  <si>
    <t xml:space="preserve"> 4. 1 해당부서에서는 평가항목에 대하여 기초자료 수집 결과와 경쟁사의 정보를 비교</t>
  </si>
  <si>
    <t xml:space="preserve">       분석하여 고객의 요구사항, 납기, 품질, 비용 등 기타 유사 항목별로 분류한다.</t>
  </si>
  <si>
    <t xml:space="preserve"> 4. 2 해당부서에서는 평가목적에 해당하는 요인을 찾아 정리, 결정하고 필요시 </t>
  </si>
  <si>
    <t xml:space="preserve">       고객으로 부터 의견을 들을 수 있는 질문의 문항을 분류하여 정한다.</t>
  </si>
  <si>
    <t xml:space="preserve"> 4. 3 고객의 의견이 이전의 평가결과와 비교 분석될 수 있도록 이전의 조사와 동일한 </t>
  </si>
  <si>
    <t xml:space="preserve">       항목을 설정하여 분석항목의 일관성을 기하도록 한다.</t>
  </si>
  <si>
    <t xml:space="preserve"> 4. 4 이전의 조사항목 외에 신규로 조사하고 싶은 항목이 있는 경우 추가한다.</t>
  </si>
  <si>
    <t xml:space="preserve"> 4. 5 고객만족도 조사는 외부고객은 품질팀, 내부고객은 관리팀에서 주관하여 </t>
  </si>
  <si>
    <t xml:space="preserve">       취합/ 정리/분석/보고/조치를 관련부서의 협조를 얻어 조치를 취하도록 한다.</t>
  </si>
  <si>
    <t xml:space="preserve"> 5. 고객만족 평가표 작성 방법</t>
  </si>
  <si>
    <t xml:space="preserve"> 5.1 평가목적을 분명히 밝힌다.</t>
  </si>
  <si>
    <t xml:space="preserve"> 5.2 평가항목은 간단하고 명료하게 작성하며 평가자(설문 응답자)의 편의를 고려하여</t>
  </si>
  <si>
    <t xml:space="preserve">      작성한다.</t>
  </si>
  <si>
    <t xml:space="preserve"> 5.3 고객만족 평가표 내용에는 다음과 같은 내용을 고려하여 작성한다. </t>
  </si>
  <si>
    <t xml:space="preserve"> 5.3.1 고객 요구사항 만족 여부 확인 측면</t>
  </si>
  <si>
    <t xml:space="preserve"> 5.3.2 고객 불만사항 및 애로사항 도출 측면</t>
  </si>
  <si>
    <t xml:space="preserve"> 5.3.3 고객의 개선 및 요구사항 파악 측면</t>
  </si>
  <si>
    <t xml:space="preserve"> 5.3.4 경쟁사에 대한 고객 비교 분석 측면</t>
  </si>
  <si>
    <t>6. 관련기록</t>
  </si>
  <si>
    <t xml:space="preserve">    - 외부고객 만족평가표</t>
  </si>
  <si>
    <t xml:space="preserve">    - 내부고객 만족평가표</t>
  </si>
  <si>
    <t xml:space="preserve"> - 시행계획서(품의서)</t>
  </si>
  <si>
    <t xml:space="preserve"> - 고객만족도 분석결과(품의서)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</si>
</sst>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_);[Red]\(0\)"/>
  </numFmts>
  <fonts count="17">
    <font>
      <sz val="11.0"/>
      <color rgb="FF000000"/>
      <name val="Calibri"/>
      <scheme val="minor"/>
    </font>
    <font>
      <sz val="11.0"/>
      <color theme="1"/>
      <name val="Malgun Gothic"/>
    </font>
    <font/>
    <font>
      <b/>
      <sz val="14.0"/>
      <color theme="1"/>
      <name val="Malgun Gothic"/>
    </font>
    <font>
      <sz val="13.0"/>
      <color theme="1"/>
      <name val="Malgun Gothic"/>
    </font>
    <font>
      <b/>
      <sz val="16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sz val="9.0"/>
      <color theme="1"/>
      <name val="Malgun Gothic"/>
    </font>
    <font>
      <sz val="8.0"/>
      <color theme="1"/>
      <name val="Malgun Gothic"/>
    </font>
    <font>
      <b/>
      <sz val="8.0"/>
      <color theme="1"/>
      <name val="Malgun Gothic"/>
    </font>
    <font>
      <sz val="7.0"/>
      <color theme="1"/>
      <name val="Malgun Gothic"/>
    </font>
    <font>
      <b/>
      <sz val="9.0"/>
      <color theme="1"/>
      <name val="Malgun Gothic"/>
    </font>
    <font>
      <sz val="9.0"/>
      <color rgb="FF00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8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/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top/>
    </border>
    <border>
      <right/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 style="dotted">
        <color rgb="FF000000"/>
      </left>
      <right/>
      <top/>
      <bottom/>
    </border>
    <border>
      <left style="dotted">
        <color rgb="FF000000"/>
      </left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dotted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 style="dotted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5" numFmtId="0" xfId="0" applyAlignment="1" applyBorder="1" applyFont="1">
      <alignment horizontal="center" vertical="center"/>
    </xf>
    <xf borderId="10" fillId="2" fontId="6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  <xf borderId="4" fillId="0" fontId="7" numFmtId="0" xfId="0" applyAlignment="1" applyBorder="1" applyFont="1">
      <alignment horizontal="center" vertical="center"/>
    </xf>
    <xf borderId="11" fillId="2" fontId="8" numFmtId="0" xfId="0" applyAlignment="1" applyBorder="1" applyFill="1" applyFont="1">
      <alignment horizontal="left" vertical="center"/>
    </xf>
    <xf borderId="10" fillId="2" fontId="8" numFmtId="0" xfId="0" applyAlignment="1" applyBorder="1" applyFill="1" applyFont="1">
      <alignment horizontal="left" vertical="center"/>
    </xf>
    <xf borderId="10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horizontal="left" vertical="center"/>
    </xf>
    <xf borderId="13" fillId="2" fontId="1" numFmtId="0" xfId="0" applyAlignment="1" applyBorder="1" applyFill="1" applyFont="1">
      <alignment horizontal="left" vertical="center"/>
    </xf>
    <xf borderId="14" fillId="2" fontId="1" numFmtId="0" xfId="0" applyAlignment="1" applyBorder="1" applyFill="1" applyFont="1">
      <alignment vertical="center"/>
    </xf>
    <xf borderId="10" fillId="2" fontId="8" numFmtId="0" xfId="0" applyAlignment="1" applyBorder="1" applyFill="1" applyFont="1">
      <alignment vertical="center"/>
    </xf>
    <xf borderId="14" fillId="2" fontId="8" numFmtId="0" xfId="0" applyAlignment="1" applyBorder="1" applyFill="1" applyFont="1">
      <alignment vertical="center"/>
    </xf>
    <xf borderId="15" fillId="2" fontId="1" numFmtId="0" xfId="0" applyAlignment="1" applyBorder="1" applyFill="1" applyFont="1">
      <alignment vertical="center"/>
    </xf>
    <xf borderId="1" fillId="2" fontId="7" numFmtId="0" xfId="0" applyAlignment="1" applyBorder="1" applyFill="1" applyFont="1">
      <alignment horizontal="center" vertical="center"/>
    </xf>
    <xf borderId="16" fillId="2" fontId="8" numFmtId="0" xfId="0" applyAlignment="1" applyBorder="1" applyFill="1" applyFont="1">
      <alignment horizontal="left" vertical="center"/>
    </xf>
    <xf borderId="17" fillId="2" fontId="8" numFmtId="0" xfId="0" applyAlignment="1" applyBorder="1" applyFill="1" applyFont="1">
      <alignment horizontal="left" vertical="center"/>
    </xf>
    <xf borderId="18" fillId="2" fontId="8" numFmtId="0" xfId="0" applyAlignment="1" applyBorder="1" applyFill="1" applyFont="1">
      <alignment horizontal="left" vertical="center"/>
    </xf>
    <xf borderId="1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13" fillId="2" fontId="8" numFmtId="0" xfId="0" applyAlignment="1" applyBorder="1" applyFill="1" applyFont="1">
      <alignment horizontal="left" vertical="center"/>
    </xf>
    <xf borderId="14" fillId="2" fontId="8" numFmtId="0" xfId="0" applyAlignment="1" applyBorder="1" applyFill="1" applyFont="1">
      <alignment horizontal="left" vertical="center"/>
    </xf>
    <xf borderId="15" fillId="2" fontId="8" numFmtId="0" xfId="0" applyAlignment="1" applyBorder="1" applyFill="1" applyFont="1">
      <alignment horizontal="left" vertical="center"/>
    </xf>
    <xf borderId="21" fillId="2" fontId="8" numFmtId="0" xfId="0" applyAlignment="1" applyBorder="1" applyFill="1" applyFont="1">
      <alignment horizontal="left" vertical="center"/>
    </xf>
    <xf borderId="22" fillId="2" fontId="8" numFmtId="0" xfId="0" applyAlignment="1" applyBorder="1" applyFill="1" applyFont="1">
      <alignment horizontal="left" vertical="center"/>
    </xf>
    <xf borderId="23" fillId="2" fontId="8" numFmtId="0" xfId="0" applyAlignment="1" applyBorder="1" applyFill="1" applyFont="1">
      <alignment horizontal="left" vertical="center"/>
    </xf>
    <xf borderId="1" fillId="2" fontId="7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vertical="center"/>
    </xf>
    <xf borderId="24" fillId="2" fontId="8" numFmtId="0" xfId="0" applyAlignment="1" applyBorder="1" applyFill="1" applyFont="1">
      <alignment horizontal="left" shrinkToFit="1" vertical="center" wrapText="0"/>
    </xf>
    <xf borderId="25" fillId="0" fontId="2" numFmtId="0" xfId="0" applyBorder="1" applyFont="1"/>
    <xf borderId="26" fillId="0" fontId="2" numFmtId="0" xfId="0" applyBorder="1" applyFont="1"/>
    <xf borderId="24" fillId="2" fontId="8" numFmtId="0" xfId="0" applyAlignment="1" applyBorder="1" applyFill="1" applyFont="1">
      <alignment horizontal="center" vertical="center"/>
    </xf>
    <xf borderId="27" fillId="2" fontId="8" numFmtId="0" xfId="0" applyAlignment="1" applyBorder="1" applyFill="1" applyFont="1">
      <alignment horizontal="left" shrinkToFit="1" vertical="center" wrapText="0"/>
    </xf>
    <xf borderId="28" fillId="0" fontId="2" numFmtId="0" xfId="0" applyBorder="1" applyFont="1"/>
    <xf borderId="29" fillId="0" fontId="2" numFmtId="0" xfId="0" applyBorder="1" applyFont="1"/>
    <xf borderId="27" fillId="2" fontId="8" numFmtId="0" xfId="0" applyAlignment="1" applyBorder="1" applyFill="1" applyFont="1">
      <alignment horizontal="center" vertical="center"/>
    </xf>
    <xf borderId="30" fillId="2" fontId="8" numFmtId="0" xfId="0" applyAlignment="1" applyBorder="1" applyFill="1" applyFont="1">
      <alignment horizontal="left" shrinkToFit="1" vertical="center" wrapText="0"/>
    </xf>
    <xf borderId="31" fillId="0" fontId="2" numFmtId="0" xfId="0" applyBorder="1" applyFont="1"/>
    <xf borderId="32" fillId="0" fontId="2" numFmtId="0" xfId="0" applyBorder="1" applyFont="1"/>
    <xf borderId="30" fillId="2" fontId="8" numFmtId="0" xfId="0" applyAlignment="1" applyBorder="1" applyFill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2" fontId="8" numFmtId="0" xfId="0" applyAlignment="1" applyBorder="1" applyFill="1" applyFont="1">
      <alignment horizontal="left" vertical="center"/>
    </xf>
    <xf borderId="37" fillId="2" fontId="8" numFmtId="0" xfId="0" applyAlignment="1" applyBorder="1" applyFill="1" applyFont="1">
      <alignment horizontal="left" vertical="top"/>
    </xf>
    <xf borderId="37" fillId="2" fontId="8" numFmtId="0" xfId="0" applyAlignment="1" applyBorder="1" applyFill="1" applyFont="1">
      <alignment horizontal="left" vertical="center"/>
    </xf>
    <xf borderId="27" fillId="2" fontId="8" numFmtId="0" xfId="0" applyAlignment="1" applyBorder="1" applyFill="1" applyFont="1">
      <alignment vertical="center"/>
    </xf>
    <xf borderId="38" fillId="2" fontId="8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shrinkToFit="0" vertical="center" wrapText="1"/>
    </xf>
    <xf borderId="39" fillId="2" fontId="8" numFmtId="0" xfId="0" applyAlignment="1" applyBorder="1" applyFill="1" applyFont="1">
      <alignment vertical="center"/>
    </xf>
    <xf borderId="40" fillId="2" fontId="8" numFmtId="0" xfId="0" applyAlignment="1" applyBorder="1" applyFill="1" applyFont="1">
      <alignment vertical="center"/>
    </xf>
    <xf borderId="41" fillId="2" fontId="8" numFmtId="0" xfId="0" applyAlignment="1" applyBorder="1" applyFill="1" applyFont="1">
      <alignment vertical="center"/>
    </xf>
    <xf borderId="22" fillId="2" fontId="8" numFmtId="0" xfId="0" applyAlignment="1" applyBorder="1" applyFill="1" applyFont="1">
      <alignment horizontal="left" shrinkToFit="0" vertical="center" wrapText="1"/>
    </xf>
    <xf borderId="23" fillId="2" fontId="8" numFmtId="0" xfId="0" applyAlignment="1" applyBorder="1" applyFill="1" applyFont="1">
      <alignment horizontal="left" shrinkToFit="0" vertical="center" wrapText="1"/>
    </xf>
    <xf borderId="42" fillId="2" fontId="8" numFmtId="0" xfId="0" applyAlignment="1" applyBorder="1" applyFill="1" applyFont="1">
      <alignment vertical="center"/>
    </xf>
    <xf borderId="24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43" fillId="2" fontId="8" numFmtId="0" xfId="0" applyAlignment="1" applyBorder="1" applyFill="1" applyFont="1">
      <alignment vertical="center"/>
    </xf>
    <xf borderId="44" fillId="2" fontId="8" numFmtId="0" xfId="0" applyAlignment="1" applyBorder="1" applyFill="1" applyFont="1">
      <alignment vertical="center"/>
    </xf>
    <xf borderId="45" fillId="2" fontId="8" numFmtId="0" xfId="0" applyAlignment="1" applyBorder="1" applyFill="1" applyFont="1">
      <alignment vertical="center"/>
    </xf>
    <xf borderId="46" fillId="2" fontId="8" numFmtId="0" xfId="0" applyAlignment="1" applyBorder="1" applyFill="1" applyFont="1">
      <alignment vertical="center"/>
    </xf>
    <xf borderId="47" fillId="2" fontId="8" numFmtId="0" xfId="0" applyAlignment="1" applyBorder="1" applyFill="1" applyFont="1">
      <alignment vertical="center"/>
    </xf>
    <xf borderId="15" fillId="2" fontId="8" numFmtId="0" xfId="0" applyAlignment="1" applyBorder="1" applyFill="1" applyFont="1">
      <alignment vertical="center"/>
    </xf>
    <xf borderId="4" fillId="2" fontId="7" numFmtId="0" xfId="0" applyAlignment="1" applyBorder="1" applyFill="1" applyFont="1">
      <alignment horizontal="left" vertical="center"/>
    </xf>
    <xf borderId="48" fillId="0" fontId="2" numFmtId="0" xfId="0" applyBorder="1" applyFont="1"/>
    <xf borderId="10" fillId="2" fontId="7" numFmtId="0" xfId="0" applyAlignment="1" applyBorder="1" applyFill="1" applyFont="1">
      <alignment horizontal="left" vertical="center"/>
    </xf>
    <xf borderId="10" fillId="2" fontId="9" numFmtId="0" xfId="0" applyAlignment="1" applyBorder="1" applyFill="1" applyFont="1">
      <alignment horizontal="left" vertical="center"/>
    </xf>
    <xf borderId="12" fillId="2" fontId="8" numFmtId="0" xfId="0" applyAlignment="1" applyBorder="1" applyFill="1" applyFont="1">
      <alignment vertical="center"/>
    </xf>
    <xf borderId="24" fillId="2" fontId="8" numFmtId="164" xfId="0" applyAlignment="1" applyBorder="1" applyFill="1" applyFont="1" applyNumberFormat="1">
      <alignment horizontal="center" vertical="center"/>
    </xf>
    <xf borderId="24" fillId="2" fontId="10" numFmtId="0" xfId="0" applyAlignment="1" applyBorder="1" applyFill="1" applyFont="1">
      <alignment horizontal="center" vertical="center"/>
    </xf>
    <xf borderId="27" fillId="2" fontId="8" numFmtId="164" xfId="0" applyAlignment="1" applyBorder="1" applyFill="1" applyFont="1" applyNumberFormat="1">
      <alignment horizontal="center" vertical="center"/>
    </xf>
    <xf borderId="27" fillId="2" fontId="10" numFmtId="0" xfId="0" applyAlignment="1" applyBorder="1" applyFill="1" applyFont="1">
      <alignment horizontal="center" vertical="center"/>
    </xf>
    <xf borderId="43" fillId="2" fontId="1" numFmtId="0" xfId="0" applyAlignment="1" applyBorder="1" applyFill="1" applyFont="1">
      <alignment vertical="center"/>
    </xf>
    <xf borderId="44" fillId="2" fontId="1" numFmtId="0" xfId="0" applyAlignment="1" applyBorder="1" applyFill="1" applyFont="1">
      <alignment vertical="center"/>
    </xf>
    <xf borderId="43" fillId="2" fontId="1" numFmtId="0" xfId="0" applyAlignment="1" applyBorder="1" applyFill="1" applyFont="1">
      <alignment horizontal="left" vertical="center"/>
    </xf>
    <xf borderId="44" fillId="2" fontId="1" numFmtId="0" xfId="0" applyAlignment="1" applyBorder="1" applyFill="1" applyFont="1">
      <alignment horizontal="left" vertical="center"/>
    </xf>
    <xf borderId="45" fillId="2" fontId="1" numFmtId="0" xfId="0" applyAlignment="1" applyBorder="1" applyFill="1" applyFont="1">
      <alignment vertical="center"/>
    </xf>
    <xf borderId="49" fillId="2" fontId="1" numFmtId="0" xfId="0" applyAlignment="1" applyBorder="1" applyFill="1" applyFont="1">
      <alignment vertical="center"/>
    </xf>
    <xf borderId="50" fillId="0" fontId="2" numFmtId="0" xfId="0" applyBorder="1" applyFont="1"/>
    <xf borderId="51" fillId="0" fontId="2" numFmtId="0" xfId="0" applyBorder="1" applyFont="1"/>
    <xf borderId="46" fillId="2" fontId="1" numFmtId="0" xfId="0" applyAlignment="1" applyBorder="1" applyFill="1" applyFont="1">
      <alignment vertical="center"/>
    </xf>
    <xf borderId="47" fillId="2" fontId="1" numFmtId="0" xfId="0" applyAlignment="1" applyBorder="1" applyFill="1" applyFont="1">
      <alignment vertical="center"/>
    </xf>
    <xf borderId="42" fillId="2" fontId="1" numFmtId="0" xfId="0" applyAlignment="1" applyBorder="1" applyFill="1" applyFont="1">
      <alignment vertical="center"/>
    </xf>
    <xf borderId="10" fillId="2" fontId="1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0" fillId="0" fontId="8" numFmtId="165" xfId="0" applyAlignment="1" applyFont="1" applyNumberFormat="1">
      <alignment horizontal="center" vertical="center"/>
    </xf>
    <xf borderId="4" fillId="2" fontId="8" numFmtId="0" xfId="0" applyAlignment="1" applyBorder="1" applyFill="1" applyFont="1">
      <alignment horizontal="center" vertical="center"/>
    </xf>
    <xf borderId="4" fillId="2" fontId="8" numFmtId="164" xfId="0" applyAlignment="1" applyBorder="1" applyFill="1" applyFont="1" applyNumberFormat="1">
      <alignment horizontal="center" vertical="center"/>
    </xf>
    <xf borderId="4" fillId="0" fontId="8" numFmtId="164" xfId="0" applyAlignment="1" applyBorder="1" applyFont="1" applyNumberFormat="1">
      <alignment horizontal="center" vertical="center"/>
    </xf>
    <xf borderId="52" fillId="2" fontId="8" numFmtId="0" xfId="0" applyAlignment="1" applyBorder="1" applyFill="1" applyFont="1">
      <alignment vertical="center"/>
    </xf>
    <xf borderId="10" fillId="2" fontId="11" numFmtId="0" xfId="0" applyAlignment="1" applyBorder="1" applyFill="1" applyFont="1">
      <alignment horizontal="right" vertical="center"/>
    </xf>
    <xf borderId="53" fillId="3" fontId="12" numFmtId="0" xfId="0" applyAlignment="1" applyBorder="1" applyFill="1" applyFont="1">
      <alignment horizontal="center" textRotation="255" vertical="center"/>
    </xf>
    <xf borderId="54" fillId="0" fontId="2" numFmtId="0" xfId="0" applyBorder="1" applyFont="1"/>
    <xf borderId="53" fillId="3" fontId="12" numFmtId="0" xfId="0" applyAlignment="1" applyBorder="1" applyFill="1" applyFont="1">
      <alignment horizontal="center" vertical="center"/>
    </xf>
    <xf borderId="55" fillId="0" fontId="2" numFmtId="0" xfId="0" applyBorder="1" applyFont="1"/>
    <xf borderId="56" fillId="0" fontId="2" numFmtId="0" xfId="0" applyBorder="1" applyFont="1"/>
    <xf borderId="57" fillId="3" fontId="12" numFmtId="0" xfId="0" applyAlignment="1" applyBorder="1" applyFill="1" applyFont="1">
      <alignment horizontal="center" shrinkToFit="0" vertical="center" wrapText="1"/>
    </xf>
    <xf borderId="53" fillId="3" fontId="12" numFmtId="0" xfId="0" applyAlignment="1" applyBorder="1" applyFill="1" applyFont="1">
      <alignment horizontal="center" shrinkToFit="0" vertical="center" wrapText="1"/>
    </xf>
    <xf borderId="58" fillId="3" fontId="12" numFmtId="0" xfId="0" applyAlignment="1" applyBorder="1" applyFill="1" applyFont="1">
      <alignment horizontal="center" vertical="center"/>
    </xf>
    <xf borderId="59" fillId="0" fontId="2" numFmtId="0" xfId="0" applyBorder="1" applyFont="1"/>
    <xf borderId="60" fillId="0" fontId="2" numFmtId="0" xfId="0" applyBorder="1" applyFont="1"/>
    <xf borderId="61" fillId="3" fontId="12" numFmtId="0" xfId="0" applyAlignment="1" applyBorder="1" applyFill="1" applyFont="1">
      <alignment horizontal="center" vertical="center"/>
    </xf>
    <xf borderId="62" fillId="0" fontId="2" numFmtId="0" xfId="0" applyBorder="1" applyFont="1"/>
    <xf borderId="63" fillId="0" fontId="2" numFmtId="0" xfId="0" applyBorder="1" applyFont="1"/>
    <xf borderId="4" fillId="3" fontId="12" numFmtId="0" xfId="0" applyAlignment="1" applyBorder="1" applyFill="1" applyFont="1">
      <alignment horizontal="center" vertical="center"/>
    </xf>
    <xf borderId="64" fillId="0" fontId="2" numFmtId="0" xfId="0" applyBorder="1" applyFont="1"/>
    <xf borderId="65" fillId="0" fontId="2" numFmtId="0" xfId="0" applyBorder="1" applyFont="1"/>
    <xf borderId="1" fillId="2" fontId="8" numFmtId="0" xfId="0" applyAlignment="1" applyBorder="1" applyFill="1" applyFont="1">
      <alignment horizontal="center" shrinkToFit="0" textRotation="255" vertical="center" wrapText="1"/>
    </xf>
    <xf borderId="17" fillId="2" fontId="13" numFmtId="0" xfId="0" applyAlignment="1" applyBorder="1" applyFill="1" applyFont="1">
      <alignment horizontal="left" vertical="center"/>
    </xf>
    <xf borderId="17" fillId="2" fontId="12" numFmtId="0" xfId="0" applyAlignment="1" applyBorder="1" applyFill="1" applyFont="1">
      <alignment horizontal="left" vertical="center"/>
    </xf>
    <xf borderId="66" fillId="2" fontId="8" numFmtId="0" xfId="0" applyAlignment="1" applyBorder="1" applyFill="1" applyFont="1">
      <alignment vertical="center"/>
    </xf>
    <xf borderId="17" fillId="2" fontId="8" numFmtId="0" xfId="0" applyAlignment="1" applyBorder="1" applyFill="1" applyFont="1">
      <alignment vertical="center"/>
    </xf>
    <xf borderId="66" fillId="2" fontId="12" numFmtId="0" xfId="0" applyAlignment="1" applyBorder="1" applyFill="1" applyFont="1">
      <alignment vertical="center"/>
    </xf>
    <xf borderId="17" fillId="2" fontId="12" numFmtId="0" xfId="0" applyAlignment="1" applyBorder="1" applyFill="1" applyFont="1">
      <alignment vertical="center"/>
    </xf>
    <xf borderId="18" fillId="2" fontId="12" numFmtId="0" xfId="0" applyAlignment="1" applyBorder="1" applyFill="1" applyFont="1">
      <alignment vertical="center"/>
    </xf>
    <xf borderId="14" fillId="2" fontId="12" numFmtId="0" xfId="0" applyAlignment="1" applyBorder="1" applyFill="1" applyFont="1">
      <alignment vertical="center"/>
    </xf>
    <xf borderId="14" fillId="2" fontId="12" numFmtId="0" xfId="0" applyAlignment="1" applyBorder="1" applyFill="1" applyFont="1">
      <alignment horizontal="left" vertical="center"/>
    </xf>
    <xf borderId="67" fillId="2" fontId="8" numFmtId="0" xfId="0" applyAlignment="1" applyBorder="1" applyFill="1" applyFont="1">
      <alignment vertical="center"/>
    </xf>
    <xf borderId="67" fillId="2" fontId="12" numFmtId="0" xfId="0" applyAlignment="1" applyBorder="1" applyFill="1" applyFont="1">
      <alignment horizontal="left" vertical="center"/>
    </xf>
    <xf borderId="15" fillId="2" fontId="12" numFmtId="0" xfId="0" applyAlignment="1" applyBorder="1" applyFill="1" applyFont="1">
      <alignment vertical="center"/>
    </xf>
    <xf borderId="14" fillId="2" fontId="11" numFmtId="0" xfId="0" applyAlignment="1" applyBorder="1" applyFill="1" applyFont="1">
      <alignment vertical="center"/>
    </xf>
    <xf borderId="68" fillId="0" fontId="8" numFmtId="0" xfId="0" applyAlignment="1" applyBorder="1" applyFont="1">
      <alignment vertical="center"/>
    </xf>
    <xf borderId="13" fillId="2" fontId="12" numFmtId="0" xfId="0" applyAlignment="1" applyBorder="1" applyFill="1" applyFont="1">
      <alignment horizontal="left" vertical="center"/>
    </xf>
    <xf borderId="14" fillId="2" fontId="14" numFmtId="0" xfId="0" applyAlignment="1" applyBorder="1" applyFill="1" applyFont="1">
      <alignment horizontal="left" vertical="center"/>
    </xf>
    <xf borderId="69" fillId="0" fontId="2" numFmtId="0" xfId="0" applyBorder="1" applyFont="1"/>
    <xf borderId="70" fillId="0" fontId="2" numFmtId="0" xfId="0" applyBorder="1" applyFont="1"/>
    <xf borderId="36" fillId="2" fontId="12" numFmtId="0" xfId="0" applyAlignment="1" applyBorder="1" applyFill="1" applyFont="1">
      <alignment horizontal="left" vertical="center"/>
    </xf>
    <xf borderId="37" fillId="2" fontId="12" numFmtId="0" xfId="0" applyAlignment="1" applyBorder="1" applyFill="1" applyFont="1">
      <alignment horizontal="left" vertical="center"/>
    </xf>
    <xf borderId="37" fillId="2" fontId="14" numFmtId="0" xfId="0" applyAlignment="1" applyBorder="1" applyFill="1" applyFont="1">
      <alignment horizontal="left" vertical="center"/>
    </xf>
    <xf borderId="71" fillId="2" fontId="8" numFmtId="0" xfId="0" applyAlignment="1" applyBorder="1" applyFill="1" applyFont="1">
      <alignment vertical="center"/>
    </xf>
    <xf borderId="37" fillId="2" fontId="8" numFmtId="0" xfId="0" applyAlignment="1" applyBorder="1" applyFill="1" applyFont="1">
      <alignment vertical="center"/>
    </xf>
    <xf borderId="71" fillId="2" fontId="12" numFmtId="0" xfId="0" applyAlignment="1" applyBorder="1" applyFill="1" applyFont="1">
      <alignment horizontal="left" vertical="center"/>
    </xf>
    <xf borderId="37" fillId="2" fontId="12" numFmtId="0" xfId="0" applyAlignment="1" applyBorder="1" applyFill="1" applyFont="1">
      <alignment vertical="center"/>
    </xf>
    <xf borderId="38" fillId="2" fontId="12" numFmtId="0" xfId="0" applyAlignment="1" applyBorder="1" applyFill="1" applyFont="1">
      <alignment vertical="center"/>
    </xf>
    <xf borderId="72" fillId="2" fontId="8" numFmtId="0" xfId="0" applyAlignment="1" applyBorder="1" applyFill="1" applyFont="1">
      <alignment horizontal="center" textRotation="255" vertical="center"/>
    </xf>
    <xf borderId="73" fillId="0" fontId="2" numFmtId="0" xfId="0" applyBorder="1" applyFont="1"/>
    <xf borderId="74" fillId="2" fontId="12" numFmtId="0" xfId="0" applyAlignment="1" applyBorder="1" applyFill="1" applyFont="1">
      <alignment horizontal="left" vertical="center"/>
    </xf>
    <xf borderId="75" fillId="2" fontId="12" numFmtId="0" xfId="0" applyAlignment="1" applyBorder="1" applyFill="1" applyFont="1">
      <alignment horizontal="left" vertical="center"/>
    </xf>
    <xf borderId="75" fillId="2" fontId="14" numFmtId="0" xfId="0" applyAlignment="1" applyBorder="1" applyFill="1" applyFont="1">
      <alignment horizontal="left" vertical="center"/>
    </xf>
    <xf borderId="76" fillId="2" fontId="8" numFmtId="0" xfId="0" applyAlignment="1" applyBorder="1" applyFill="1" applyFont="1">
      <alignment vertical="center"/>
    </xf>
    <xf borderId="75" fillId="2" fontId="8" numFmtId="0" xfId="0" applyAlignment="1" applyBorder="1" applyFill="1" applyFont="1">
      <alignment vertical="center"/>
    </xf>
    <xf borderId="76" fillId="2" fontId="12" numFmtId="0" xfId="0" applyAlignment="1" applyBorder="1" applyFill="1" applyFont="1">
      <alignment horizontal="left" vertical="top"/>
    </xf>
    <xf borderId="75" fillId="2" fontId="12" numFmtId="0" xfId="0" applyAlignment="1" applyBorder="1" applyFill="1" applyFont="1">
      <alignment vertical="center"/>
    </xf>
    <xf borderId="77" fillId="2" fontId="12" numFmtId="0" xfId="0" applyAlignment="1" applyBorder="1" applyFill="1" applyFont="1">
      <alignment vertical="center"/>
    </xf>
    <xf borderId="67" fillId="2" fontId="12" numFmtId="0" xfId="0" applyAlignment="1" applyBorder="1" applyFill="1" applyFont="1">
      <alignment horizontal="left" vertical="top"/>
    </xf>
    <xf borderId="67" fillId="2" fontId="12" numFmtId="0" xfId="0" applyAlignment="1" applyBorder="1" applyFill="1" applyFont="1">
      <alignment vertical="center"/>
    </xf>
    <xf borderId="36" fillId="2" fontId="12" numFmtId="0" xfId="0" applyAlignment="1" applyBorder="1" applyFill="1" applyFont="1">
      <alignment vertical="center"/>
    </xf>
    <xf borderId="71" fillId="2" fontId="12" numFmtId="0" xfId="0" applyAlignment="1" applyBorder="1" applyFill="1" applyFont="1">
      <alignment vertical="center"/>
    </xf>
    <xf borderId="72" fillId="2" fontId="8" numFmtId="0" xfId="0" applyAlignment="1" applyBorder="1" applyFill="1" applyFont="1">
      <alignment horizontal="center" shrinkToFit="0" textRotation="255" vertical="center" wrapText="1"/>
    </xf>
    <xf borderId="14" fillId="2" fontId="12" numFmtId="0" xfId="0" applyAlignment="1" applyBorder="1" applyFill="1" applyFont="1">
      <alignment horizontal="center" vertical="center"/>
    </xf>
    <xf borderId="15" fillId="2" fontId="12" numFmtId="0" xfId="0" applyAlignment="1" applyBorder="1" applyFill="1" applyFont="1">
      <alignment horizontal="center" vertical="center"/>
    </xf>
    <xf borderId="14" fillId="2" fontId="12" numFmtId="0" xfId="0" applyAlignment="1" applyBorder="1" applyFill="1" applyFont="1">
      <alignment horizontal="left" shrinkToFit="0" vertical="center" wrapText="1"/>
    </xf>
    <xf borderId="37" fillId="2" fontId="12" numFmtId="0" xfId="0" applyAlignment="1" applyBorder="1" applyFill="1" applyFont="1">
      <alignment horizontal="left" shrinkToFit="0" vertical="center" wrapText="1"/>
    </xf>
    <xf borderId="53" fillId="2" fontId="8" numFmtId="0" xfId="0" applyAlignment="1" applyBorder="1" applyFill="1" applyFont="1">
      <alignment horizontal="center" shrinkToFit="0" textRotation="255" vertical="center" wrapText="1"/>
    </xf>
    <xf borderId="14" fillId="2" fontId="12" numFmtId="0" xfId="0" applyAlignment="1" applyBorder="1" applyFill="1" applyFont="1">
      <alignment horizontal="left" textRotation="255" vertical="top"/>
    </xf>
    <xf borderId="14" fillId="2" fontId="12" numFmtId="0" xfId="0" applyAlignment="1" applyBorder="1" applyFill="1" applyFont="1">
      <alignment horizontal="left" textRotation="255" vertical="center"/>
    </xf>
    <xf borderId="21" fillId="2" fontId="12" numFmtId="0" xfId="0" applyAlignment="1" applyBorder="1" applyFill="1" applyFont="1">
      <alignment horizontal="left" vertical="center"/>
    </xf>
    <xf borderId="22" fillId="2" fontId="12" numFmtId="0" xfId="0" applyAlignment="1" applyBorder="1" applyFill="1" applyFont="1">
      <alignment horizontal="left" textRotation="255" vertical="center"/>
    </xf>
    <xf borderId="22" fillId="2" fontId="12" numFmtId="0" xfId="0" applyAlignment="1" applyBorder="1" applyFill="1" applyFont="1">
      <alignment horizontal="left" vertical="center"/>
    </xf>
    <xf borderId="78" fillId="2" fontId="8" numFmtId="0" xfId="0" applyAlignment="1" applyBorder="1" applyFill="1" applyFont="1">
      <alignment vertical="center"/>
    </xf>
    <xf borderId="79" fillId="2" fontId="8" numFmtId="0" xfId="0" applyAlignment="1" applyBorder="1" applyFill="1" applyFont="1">
      <alignment vertical="center"/>
    </xf>
    <xf borderId="80" fillId="2" fontId="12" numFmtId="0" xfId="0" applyAlignment="1" applyBorder="1" applyFill="1" applyFont="1">
      <alignment horizontal="left" vertical="center"/>
    </xf>
    <xf borderId="22" fillId="2" fontId="12" numFmtId="0" xfId="0" applyAlignment="1" applyBorder="1" applyFill="1" applyFont="1">
      <alignment vertical="center"/>
    </xf>
    <xf borderId="23" fillId="2" fontId="12" numFmtId="0" xfId="0" applyAlignment="1" applyBorder="1" applyFill="1" applyFont="1">
      <alignment vertical="center"/>
    </xf>
    <xf borderId="22" fillId="2" fontId="8" numFmtId="0" xfId="0" applyAlignment="1" applyBorder="1" applyFill="1" applyFont="1">
      <alignment vertical="center"/>
    </xf>
    <xf borderId="4" fillId="0" fontId="8" numFmtId="165" xfId="0" applyAlignment="1" applyBorder="1" applyFont="1" applyNumberFormat="1">
      <alignment horizontal="center" vertical="center"/>
    </xf>
    <xf borderId="0" fillId="0" fontId="15" numFmtId="0" xfId="0" applyAlignment="1" applyFont="1">
      <alignment horizontal="left" readingOrder="1" vertical="center"/>
    </xf>
    <xf borderId="14" fillId="2" fontId="11" numFmtId="0" xfId="0" applyAlignment="1" applyBorder="1" applyFill="1" applyFont="1">
      <alignment horizontal="center" vertical="center"/>
    </xf>
    <xf borderId="14" fillId="2" fontId="11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left" readingOrder="1" vertical="center"/>
    </xf>
    <xf borderId="0" fillId="0" fontId="16" numFmtId="0" xfId="0" applyAlignment="1" applyFont="1">
      <alignment horizontal="left" readingOrder="1" vertical="center"/>
    </xf>
    <xf borderId="81" fillId="0" fontId="11" numFmtId="0" xfId="0" applyAlignment="1" applyBorder="1" applyFont="1">
      <alignment horizontal="left"/>
    </xf>
    <xf borderId="0" fillId="0" fontId="11" numFmtId="0" xfId="0" applyAlignment="1" applyFont="1">
      <alignment horizontal="left" vertical="center"/>
    </xf>
    <xf borderId="81" fillId="0" fontId="11" numFmtId="0" xfId="0" applyAlignment="1" applyBorder="1" applyFont="1">
      <alignment horizontal="left" vertical="center"/>
    </xf>
    <xf borderId="22" fillId="2" fontId="1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200025</xdr:rowOff>
    </xdr:from>
    <xdr:ext cx="121920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5" name="Shape 5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25</xdr:col>
      <xdr:colOff>95250</xdr:colOff>
      <xdr:row>10</xdr:row>
      <xdr:rowOff>123825</xdr:rowOff>
    </xdr:from>
    <xdr:ext cx="1743075" cy="266700"/>
    <xdr:sp>
      <xdr:nvSpPr>
        <xdr:cNvPr id="7" name="Shape 7"/>
        <xdr:cNvSpPr txBox="1"/>
      </xdr:nvSpPr>
      <xdr:spPr>
        <a:xfrm>
          <a:off x="4479225" y="3651413"/>
          <a:ext cx="1733550" cy="2571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고객만족도 방향 설정</a:t>
          </a:r>
          <a:endParaRPr sz="1400"/>
        </a:p>
      </xdr:txBody>
    </xdr:sp>
    <xdr:clientData fLocksWithSheet="0"/>
  </xdr:oneCellAnchor>
  <xdr:oneCellAnchor>
    <xdr:from>
      <xdr:col>9</xdr:col>
      <xdr:colOff>38100</xdr:colOff>
      <xdr:row>6</xdr:row>
      <xdr:rowOff>85725</xdr:rowOff>
    </xdr:from>
    <xdr:ext cx="1343025" cy="609600"/>
    <xdr:sp>
      <xdr:nvSpPr>
        <xdr:cNvPr id="8" name="Shape 8"/>
        <xdr:cNvSpPr/>
      </xdr:nvSpPr>
      <xdr:spPr>
        <a:xfrm>
          <a:off x="4679250" y="3479963"/>
          <a:ext cx="1333500" cy="600075"/>
        </a:xfrm>
        <a:prstGeom prst="flowChartDocument">
          <a:avLst/>
        </a:prstGeom>
        <a:solidFill>
          <a:srgbClr val="B7CCE4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경영관리프로세스</a:t>
          </a:r>
          <a:endParaRPr b="1" i="0" sz="800" u="none" strike="noStrike">
            <a:solidFill>
              <a:srgbClr val="000000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제품보존 및 인도 프로세스</a:t>
          </a:r>
          <a:endParaRPr sz="1400"/>
        </a:p>
      </xdr:txBody>
    </xdr:sp>
    <xdr:clientData fLocksWithSheet="0"/>
  </xdr:oneCellAnchor>
  <xdr:oneCellAnchor>
    <xdr:from>
      <xdr:col>14</xdr:col>
      <xdr:colOff>95250</xdr:colOff>
      <xdr:row>8</xdr:row>
      <xdr:rowOff>152400</xdr:rowOff>
    </xdr:from>
    <xdr:ext cx="2238375" cy="485775"/>
    <xdr:grpSp>
      <xdr:nvGrpSpPr>
        <xdr:cNvPr id="2" name="Shape 2"/>
        <xdr:cNvGrpSpPr/>
      </xdr:nvGrpSpPr>
      <xdr:grpSpPr>
        <a:xfrm>
          <a:off x="4231575" y="3541875"/>
          <a:ext cx="2229000" cy="476400"/>
          <a:chOff x="4231575" y="3541875"/>
          <a:chExt cx="2229000" cy="476400"/>
        </a:xfrm>
      </xdr:grpSpPr>
      <xdr:cxnSp>
        <xdr:nvCxnSpPr>
          <xdr:cNvPr id="9" name="Shape 9"/>
          <xdr:cNvCxnSpPr>
            <a:stCxn id="8" idx="2"/>
            <a:endCxn id="7" idx="0"/>
          </xdr:cNvCxnSpPr>
        </xdr:nvCxnSpPr>
        <xdr:spPr>
          <a:xfrm>
            <a:off x="4231575" y="3541875"/>
            <a:ext cx="2229000" cy="4764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104775</xdr:colOff>
      <xdr:row>17</xdr:row>
      <xdr:rowOff>95250</xdr:rowOff>
    </xdr:from>
    <xdr:ext cx="1733550" cy="342900"/>
    <xdr:sp>
      <xdr:nvSpPr>
        <xdr:cNvPr id="10" name="Shape 10"/>
        <xdr:cNvSpPr txBox="1"/>
      </xdr:nvSpPr>
      <xdr:spPr>
        <a:xfrm>
          <a:off x="4479225" y="3613313"/>
          <a:ext cx="173355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고객만족 시행계획 품의</a:t>
          </a:r>
          <a:endParaRPr sz="1400"/>
        </a:p>
      </xdr:txBody>
    </xdr:sp>
    <xdr:clientData fLocksWithSheet="0"/>
  </xdr:oneCellAnchor>
  <xdr:oneCellAnchor>
    <xdr:from>
      <xdr:col>10</xdr:col>
      <xdr:colOff>57150</xdr:colOff>
      <xdr:row>24</xdr:row>
      <xdr:rowOff>161925</xdr:rowOff>
    </xdr:from>
    <xdr:ext cx="685800" cy="266700"/>
    <xdr:sp>
      <xdr:nvSpPr>
        <xdr:cNvPr id="11" name="Shape 11"/>
        <xdr:cNvSpPr/>
      </xdr:nvSpPr>
      <xdr:spPr>
        <a:xfrm>
          <a:off x="5007863" y="3646650"/>
          <a:ext cx="676275" cy="2667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19</xdr:row>
      <xdr:rowOff>19050</xdr:rowOff>
    </xdr:from>
    <xdr:ext cx="200025" cy="171450"/>
    <xdr:sp>
      <xdr:nvSpPr>
        <xdr:cNvPr id="12" name="Shape 12"/>
        <xdr:cNvSpPr txBox="1"/>
      </xdr:nvSpPr>
      <xdr:spPr>
        <a:xfrm>
          <a:off x="5245988" y="3694275"/>
          <a:ext cx="20002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Y</a:t>
          </a:r>
          <a:endParaRPr sz="1400"/>
        </a:p>
      </xdr:txBody>
    </xdr:sp>
    <xdr:clientData fLocksWithSheet="0"/>
  </xdr:oneCellAnchor>
  <xdr:oneCellAnchor>
    <xdr:from>
      <xdr:col>13</xdr:col>
      <xdr:colOff>9525</xdr:colOff>
      <xdr:row>14</xdr:row>
      <xdr:rowOff>95250</xdr:rowOff>
    </xdr:from>
    <xdr:ext cx="1581150" cy="790575"/>
    <xdr:grpSp>
      <xdr:nvGrpSpPr>
        <xdr:cNvPr id="2" name="Shape 2"/>
        <xdr:cNvGrpSpPr/>
      </xdr:nvGrpSpPr>
      <xdr:grpSpPr>
        <a:xfrm>
          <a:off x="4560188" y="3389325"/>
          <a:ext cx="1571700" cy="781200"/>
          <a:chOff x="4560188" y="3389325"/>
          <a:chExt cx="1571700" cy="781200"/>
        </a:xfrm>
      </xdr:grpSpPr>
      <xdr:cxnSp>
        <xdr:nvCxnSpPr>
          <xdr:cNvPr id="13" name="Shape 13"/>
          <xdr:cNvCxnSpPr>
            <a:stCxn id="14" idx="0"/>
            <a:endCxn id="15" idx="1"/>
          </xdr:cNvCxnSpPr>
        </xdr:nvCxnSpPr>
        <xdr:spPr>
          <a:xfrm flipH="1" rot="10800000">
            <a:off x="4560188" y="3389325"/>
            <a:ext cx="1571700" cy="7812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47625</xdr:colOff>
      <xdr:row>17</xdr:row>
      <xdr:rowOff>133350</xdr:rowOff>
    </xdr:from>
    <xdr:ext cx="685800" cy="266700"/>
    <xdr:sp>
      <xdr:nvSpPr>
        <xdr:cNvPr id="14" name="Shape 14"/>
        <xdr:cNvSpPr/>
      </xdr:nvSpPr>
      <xdr:spPr>
        <a:xfrm>
          <a:off x="5007863" y="3646650"/>
          <a:ext cx="676275" cy="2667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</a:t>
          </a:r>
          <a:endParaRPr sz="1400"/>
        </a:p>
      </xdr:txBody>
    </xdr:sp>
    <xdr:clientData fLocksWithSheet="0"/>
  </xdr:oneCellAnchor>
  <xdr:oneCellAnchor>
    <xdr:from>
      <xdr:col>35</xdr:col>
      <xdr:colOff>133350</xdr:colOff>
      <xdr:row>11</xdr:row>
      <xdr:rowOff>219075</xdr:rowOff>
    </xdr:from>
    <xdr:ext cx="180975" cy="180975"/>
    <xdr:sp>
      <xdr:nvSpPr>
        <xdr:cNvPr id="16" name="Shape 16"/>
        <xdr:cNvSpPr txBox="1"/>
      </xdr:nvSpPr>
      <xdr:spPr>
        <a:xfrm>
          <a:off x="5260275" y="3694275"/>
          <a:ext cx="171450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85725</xdr:colOff>
      <xdr:row>16</xdr:row>
      <xdr:rowOff>161925</xdr:rowOff>
    </xdr:from>
    <xdr:ext cx="361950" cy="180975"/>
    <xdr:sp>
      <xdr:nvSpPr>
        <xdr:cNvPr id="17" name="Shape 17"/>
        <xdr:cNvSpPr txBox="1"/>
      </xdr:nvSpPr>
      <xdr:spPr>
        <a:xfrm>
          <a:off x="5169788" y="3694275"/>
          <a:ext cx="35242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N</a:t>
          </a:r>
          <a:endParaRPr sz="1400"/>
        </a:p>
      </xdr:txBody>
    </xdr:sp>
    <xdr:clientData fLocksWithSheet="0"/>
  </xdr:oneCellAnchor>
  <xdr:oneCellAnchor>
    <xdr:from>
      <xdr:col>10</xdr:col>
      <xdr:colOff>76200</xdr:colOff>
      <xdr:row>27</xdr:row>
      <xdr:rowOff>152400</xdr:rowOff>
    </xdr:from>
    <xdr:ext cx="1200150" cy="361950"/>
    <xdr:sp>
      <xdr:nvSpPr>
        <xdr:cNvPr id="18" name="Shape 18"/>
        <xdr:cNvSpPr txBox="1"/>
      </xdr:nvSpPr>
      <xdr:spPr>
        <a:xfrm>
          <a:off x="4750688" y="3603788"/>
          <a:ext cx="1190625" cy="352425"/>
        </a:xfrm>
        <a:prstGeom prst="rect">
          <a:avLst/>
        </a:prstGeom>
        <a:solidFill>
          <a:srgbClr val="B7CCE4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지속적인 개선 프로세스</a:t>
          </a:r>
          <a:endParaRPr sz="1400"/>
        </a:p>
      </xdr:txBody>
    </xdr:sp>
    <xdr:clientData fLocksWithSheet="0"/>
  </xdr:oneCellAnchor>
  <xdr:oneCellAnchor>
    <xdr:from>
      <xdr:col>13</xdr:col>
      <xdr:colOff>19050</xdr:colOff>
      <xdr:row>25</xdr:row>
      <xdr:rowOff>180975</xdr:rowOff>
    </xdr:from>
    <xdr:ext cx="2352675" cy="476250"/>
    <xdr:grpSp>
      <xdr:nvGrpSpPr>
        <xdr:cNvPr id="2" name="Shape 2"/>
        <xdr:cNvGrpSpPr/>
      </xdr:nvGrpSpPr>
      <xdr:grpSpPr>
        <a:xfrm>
          <a:off x="4169663" y="3546638"/>
          <a:ext cx="2352600" cy="466800"/>
          <a:chOff x="4169663" y="3546638"/>
          <a:chExt cx="2352600" cy="466800"/>
        </a:xfrm>
      </xdr:grpSpPr>
      <xdr:cxnSp>
        <xdr:nvCxnSpPr>
          <xdr:cNvPr id="19" name="Shape 19"/>
          <xdr:cNvCxnSpPr>
            <a:stCxn id="11" idx="2"/>
            <a:endCxn id="20" idx="0"/>
          </xdr:cNvCxnSpPr>
        </xdr:nvCxnSpPr>
        <xdr:spPr>
          <a:xfrm>
            <a:off x="4169663" y="3546638"/>
            <a:ext cx="2352600" cy="466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104775</xdr:colOff>
      <xdr:row>13</xdr:row>
      <xdr:rowOff>200025</xdr:rowOff>
    </xdr:from>
    <xdr:ext cx="1733550" cy="276225"/>
    <xdr:sp>
      <xdr:nvSpPr>
        <xdr:cNvPr id="15" name="Shape 15"/>
        <xdr:cNvSpPr txBox="1"/>
      </xdr:nvSpPr>
      <xdr:spPr>
        <a:xfrm>
          <a:off x="4479225" y="3646650"/>
          <a:ext cx="1733550" cy="266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자료의 수집/조사 방법 결정</a:t>
          </a: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123825</xdr:rowOff>
    </xdr:from>
    <xdr:ext cx="2847975" cy="333375"/>
    <xdr:sp>
      <xdr:nvSpPr>
        <xdr:cNvPr id="21" name="Shape 21"/>
        <xdr:cNvSpPr txBox="1"/>
      </xdr:nvSpPr>
      <xdr:spPr>
        <a:xfrm>
          <a:off x="3926775" y="3618075"/>
          <a:ext cx="2838450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내/외부 고객만족도</a:t>
          </a:r>
          <a:endParaRPr b="0" i="0" sz="800" u="none" strike="noStrike">
            <a:solidFill>
              <a:srgbClr val="000000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조사 실시</a:t>
          </a:r>
          <a:endParaRPr sz="1400"/>
        </a:p>
      </xdr:txBody>
    </xdr:sp>
    <xdr:clientData fLocksWithSheet="0"/>
  </xdr:oneCellAnchor>
  <xdr:oneCellAnchor>
    <xdr:from>
      <xdr:col>25</xdr:col>
      <xdr:colOff>76200</xdr:colOff>
      <xdr:row>24</xdr:row>
      <xdr:rowOff>123825</xdr:rowOff>
    </xdr:from>
    <xdr:ext cx="1743075" cy="342900"/>
    <xdr:sp>
      <xdr:nvSpPr>
        <xdr:cNvPr id="22" name="Shape 22"/>
        <xdr:cNvSpPr txBox="1"/>
      </xdr:nvSpPr>
      <xdr:spPr>
        <a:xfrm>
          <a:off x="4479225" y="3613313"/>
          <a:ext cx="173355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고객만족도 접수 및 분석</a:t>
          </a:r>
          <a:endParaRPr sz="1400"/>
        </a:p>
      </xdr:txBody>
    </xdr:sp>
    <xdr:clientData fLocksWithSheet="0"/>
  </xdr:oneCellAnchor>
  <xdr:oneCellAnchor>
    <xdr:from>
      <xdr:col>25</xdr:col>
      <xdr:colOff>9525</xdr:colOff>
      <xdr:row>27</xdr:row>
      <xdr:rowOff>152400</xdr:rowOff>
    </xdr:from>
    <xdr:ext cx="1743075" cy="342900"/>
    <xdr:sp>
      <xdr:nvSpPr>
        <xdr:cNvPr id="20" name="Shape 20"/>
        <xdr:cNvSpPr txBox="1"/>
      </xdr:nvSpPr>
      <xdr:spPr>
        <a:xfrm>
          <a:off x="4479225" y="3613313"/>
          <a:ext cx="173355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부적합 및 시정조치</a:t>
          </a:r>
          <a:endParaRPr b="0" i="0" sz="800" u="none" strike="noStrike">
            <a:solidFill>
              <a:srgbClr val="000000"/>
            </a:solidFill>
            <a:latin typeface="Malgun Gothic"/>
            <a:ea typeface="Malgun Gothic"/>
            <a:cs typeface="Malgun Gothic"/>
            <a:sym typeface="Malgun Gothic"/>
          </a:endParaRPr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지속적 개선</a:t>
          </a:r>
          <a:endParaRPr sz="1400"/>
        </a:p>
      </xdr:txBody>
    </xdr:sp>
    <xdr:clientData fLocksWithSheet="0"/>
  </xdr:oneCellAnchor>
  <xdr:oneCellAnchor>
    <xdr:from>
      <xdr:col>25</xdr:col>
      <xdr:colOff>19050</xdr:colOff>
      <xdr:row>33</xdr:row>
      <xdr:rowOff>180975</xdr:rowOff>
    </xdr:from>
    <xdr:ext cx="1743075" cy="323850"/>
    <xdr:sp>
      <xdr:nvSpPr>
        <xdr:cNvPr id="23" name="Shape 23"/>
        <xdr:cNvSpPr txBox="1"/>
      </xdr:nvSpPr>
      <xdr:spPr>
        <a:xfrm>
          <a:off x="4479225" y="3622838"/>
          <a:ext cx="1733550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경영검토/지표 반영</a:t>
          </a:r>
          <a:endParaRPr sz="1400"/>
        </a:p>
      </xdr:txBody>
    </xdr:sp>
    <xdr:clientData fLocksWithSheet="0"/>
  </xdr:oneCellAnchor>
  <xdr:oneCellAnchor>
    <xdr:from>
      <xdr:col>32</xdr:col>
      <xdr:colOff>85725</xdr:colOff>
      <xdr:row>11</xdr:row>
      <xdr:rowOff>152400</xdr:rowOff>
    </xdr:from>
    <xdr:ext cx="38100" cy="552450"/>
    <xdr:grpSp>
      <xdr:nvGrpSpPr>
        <xdr:cNvPr id="2" name="Shape 2"/>
        <xdr:cNvGrpSpPr/>
      </xdr:nvGrpSpPr>
      <xdr:grpSpPr>
        <a:xfrm>
          <a:off x="5346000" y="3503775"/>
          <a:ext cx="0" cy="552600"/>
          <a:chOff x="5346000" y="3503775"/>
          <a:chExt cx="0" cy="552600"/>
        </a:xfrm>
      </xdr:grpSpPr>
      <xdr:cxnSp>
        <xdr:nvCxnSpPr>
          <xdr:cNvPr id="24" name="Shape 24"/>
          <xdr:cNvCxnSpPr>
            <a:stCxn id="7" idx="2"/>
            <a:endCxn id="15" idx="0"/>
          </xdr:cNvCxnSpPr>
        </xdr:nvCxnSpPr>
        <xdr:spPr>
          <a:xfrm>
            <a:off x="5346000" y="3503775"/>
            <a:ext cx="0" cy="552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32</xdr:col>
      <xdr:colOff>85725</xdr:colOff>
      <xdr:row>14</xdr:row>
      <xdr:rowOff>238125</xdr:rowOff>
    </xdr:from>
    <xdr:ext cx="38100" cy="609600"/>
    <xdr:grpSp>
      <xdr:nvGrpSpPr>
        <xdr:cNvPr id="2" name="Shape 2"/>
        <xdr:cNvGrpSpPr/>
      </xdr:nvGrpSpPr>
      <xdr:grpSpPr>
        <a:xfrm>
          <a:off x="5346000" y="3475200"/>
          <a:ext cx="0" cy="609600"/>
          <a:chOff x="5346000" y="3475200"/>
          <a:chExt cx="0" cy="609600"/>
        </a:xfrm>
      </xdr:grpSpPr>
      <xdr:cxnSp>
        <xdr:nvCxnSpPr>
          <xdr:cNvPr id="25" name="Shape 25"/>
          <xdr:cNvCxnSpPr>
            <a:stCxn id="15" idx="2"/>
            <a:endCxn id="10" idx="0"/>
          </xdr:cNvCxnSpPr>
        </xdr:nvCxnSpPr>
        <xdr:spPr>
          <a:xfrm>
            <a:off x="5346000" y="3475200"/>
            <a:ext cx="0" cy="609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123825</xdr:colOff>
      <xdr:row>18</xdr:row>
      <xdr:rowOff>0</xdr:rowOff>
    </xdr:from>
    <xdr:ext cx="1228725" cy="38100"/>
    <xdr:grpSp>
      <xdr:nvGrpSpPr>
        <xdr:cNvPr id="2" name="Shape 2"/>
        <xdr:cNvGrpSpPr/>
      </xdr:nvGrpSpPr>
      <xdr:grpSpPr>
        <a:xfrm>
          <a:off x="4731563" y="3780000"/>
          <a:ext cx="1228800" cy="0"/>
          <a:chOff x="4731563" y="3780000"/>
          <a:chExt cx="1228800" cy="0"/>
        </a:xfrm>
      </xdr:grpSpPr>
      <xdr:cxnSp>
        <xdr:nvCxnSpPr>
          <xdr:cNvPr id="26" name="Shape 26"/>
          <xdr:cNvCxnSpPr>
            <a:stCxn id="10" idx="1"/>
            <a:endCxn id="14" idx="3"/>
          </xdr:cNvCxnSpPr>
        </xdr:nvCxnSpPr>
        <xdr:spPr>
          <a:xfrm rot="10800000">
            <a:off x="4731563" y="3780000"/>
            <a:ext cx="12288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0</xdr:colOff>
      <xdr:row>18</xdr:row>
      <xdr:rowOff>152400</xdr:rowOff>
    </xdr:from>
    <xdr:ext cx="38100" cy="1495425"/>
    <xdr:grpSp>
      <xdr:nvGrpSpPr>
        <xdr:cNvPr id="2" name="Shape 2"/>
        <xdr:cNvGrpSpPr/>
      </xdr:nvGrpSpPr>
      <xdr:grpSpPr>
        <a:xfrm>
          <a:off x="5346000" y="3032288"/>
          <a:ext cx="0" cy="1495500"/>
          <a:chOff x="5346000" y="3032288"/>
          <a:chExt cx="0" cy="1495500"/>
        </a:xfrm>
      </xdr:grpSpPr>
      <xdr:cxnSp>
        <xdr:nvCxnSpPr>
          <xdr:cNvPr id="27" name="Shape 27"/>
          <xdr:cNvCxnSpPr>
            <a:stCxn id="14" idx="2"/>
            <a:endCxn id="11" idx="0"/>
          </xdr:cNvCxnSpPr>
        </xdr:nvCxnSpPr>
        <xdr:spPr>
          <a:xfrm>
            <a:off x="5346000" y="3032288"/>
            <a:ext cx="0" cy="1495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123825</xdr:colOff>
      <xdr:row>25</xdr:row>
      <xdr:rowOff>28575</xdr:rowOff>
    </xdr:from>
    <xdr:ext cx="1200150" cy="38100"/>
    <xdr:grpSp>
      <xdr:nvGrpSpPr>
        <xdr:cNvPr id="2" name="Shape 2"/>
        <xdr:cNvGrpSpPr/>
      </xdr:nvGrpSpPr>
      <xdr:grpSpPr>
        <a:xfrm>
          <a:off x="4745925" y="3780000"/>
          <a:ext cx="1200300" cy="0"/>
          <a:chOff x="4745925" y="3780000"/>
          <a:chExt cx="1200300" cy="0"/>
        </a:xfrm>
      </xdr:grpSpPr>
      <xdr:cxnSp>
        <xdr:nvCxnSpPr>
          <xdr:cNvPr id="28" name="Shape 28"/>
          <xdr:cNvCxnSpPr>
            <a:stCxn id="11" idx="3"/>
            <a:endCxn id="22" idx="1"/>
          </xdr:cNvCxnSpPr>
        </xdr:nvCxnSpPr>
        <xdr:spPr>
          <a:xfrm>
            <a:off x="4745925" y="3780000"/>
            <a:ext cx="12003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28575</xdr:colOff>
      <xdr:row>28</xdr:row>
      <xdr:rowOff>57150</xdr:rowOff>
    </xdr:from>
    <xdr:ext cx="609600" cy="38100"/>
    <xdr:grpSp>
      <xdr:nvGrpSpPr>
        <xdr:cNvPr id="2" name="Shape 2"/>
        <xdr:cNvGrpSpPr/>
      </xdr:nvGrpSpPr>
      <xdr:grpSpPr>
        <a:xfrm>
          <a:off x="5041200" y="3780000"/>
          <a:ext cx="609600" cy="0"/>
          <a:chOff x="5041200" y="3780000"/>
          <a:chExt cx="609600" cy="0"/>
        </a:xfrm>
      </xdr:grpSpPr>
      <xdr:cxnSp>
        <xdr:nvCxnSpPr>
          <xdr:cNvPr id="29" name="Shape 29"/>
          <xdr:cNvCxnSpPr>
            <a:stCxn id="20" idx="1"/>
            <a:endCxn id="18" idx="3"/>
          </xdr:cNvCxnSpPr>
        </xdr:nvCxnSpPr>
        <xdr:spPr>
          <a:xfrm rot="10800000">
            <a:off x="5041200" y="3780000"/>
            <a:ext cx="6096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32</xdr:col>
      <xdr:colOff>0</xdr:colOff>
      <xdr:row>29</xdr:row>
      <xdr:rowOff>0</xdr:rowOff>
    </xdr:from>
    <xdr:ext cx="38100" cy="1181100"/>
    <xdr:grpSp>
      <xdr:nvGrpSpPr>
        <xdr:cNvPr id="2" name="Shape 2"/>
        <xdr:cNvGrpSpPr/>
      </xdr:nvGrpSpPr>
      <xdr:grpSpPr>
        <a:xfrm>
          <a:off x="5341238" y="3189450"/>
          <a:ext cx="9600" cy="1181100"/>
          <a:chOff x="5341238" y="3189450"/>
          <a:chExt cx="9600" cy="1181100"/>
        </a:xfrm>
      </xdr:grpSpPr>
      <xdr:cxnSp>
        <xdr:nvCxnSpPr>
          <xdr:cNvPr id="30" name="Shape 30"/>
          <xdr:cNvCxnSpPr>
            <a:stCxn id="20" idx="2"/>
            <a:endCxn id="23" idx="0"/>
          </xdr:cNvCxnSpPr>
        </xdr:nvCxnSpPr>
        <xdr:spPr>
          <a:xfrm>
            <a:off x="5341238" y="3189450"/>
            <a:ext cx="9600" cy="11811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47625</xdr:colOff>
      <xdr:row>33</xdr:row>
      <xdr:rowOff>161925</xdr:rowOff>
    </xdr:from>
    <xdr:ext cx="1190625" cy="361950"/>
    <xdr:sp>
      <xdr:nvSpPr>
        <xdr:cNvPr id="31" name="Shape 31"/>
        <xdr:cNvSpPr txBox="1"/>
      </xdr:nvSpPr>
      <xdr:spPr>
        <a:xfrm>
          <a:off x="4755450" y="3603788"/>
          <a:ext cx="1181100" cy="352425"/>
        </a:xfrm>
        <a:prstGeom prst="rect">
          <a:avLst/>
        </a:prstGeom>
        <a:solidFill>
          <a:srgbClr val="B7CCE4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경영검토 프로세스</a:t>
          </a:r>
          <a:endParaRPr sz="1400"/>
        </a:p>
      </xdr:txBody>
    </xdr:sp>
    <xdr:clientData fLocksWithSheet="0"/>
  </xdr:oneCellAnchor>
  <xdr:oneCellAnchor>
    <xdr:from>
      <xdr:col>20</xdr:col>
      <xdr:colOff>0</xdr:colOff>
      <xdr:row>34</xdr:row>
      <xdr:rowOff>76200</xdr:rowOff>
    </xdr:from>
    <xdr:ext cx="647700" cy="38100"/>
    <xdr:grpSp>
      <xdr:nvGrpSpPr>
        <xdr:cNvPr id="2" name="Shape 2"/>
        <xdr:cNvGrpSpPr/>
      </xdr:nvGrpSpPr>
      <xdr:grpSpPr>
        <a:xfrm>
          <a:off x="5022150" y="3780000"/>
          <a:ext cx="647700" cy="0"/>
          <a:chOff x="5022150" y="3780000"/>
          <a:chExt cx="647700" cy="0"/>
        </a:xfrm>
      </xdr:grpSpPr>
      <xdr:cxnSp>
        <xdr:nvCxnSpPr>
          <xdr:cNvPr id="32" name="Shape 32"/>
          <xdr:cNvCxnSpPr>
            <a:stCxn id="23" idx="1"/>
            <a:endCxn id="31" idx="3"/>
          </xdr:cNvCxnSpPr>
        </xdr:nvCxnSpPr>
        <xdr:spPr>
          <a:xfrm rot="10800000">
            <a:off x="5022150" y="3780000"/>
            <a:ext cx="6477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57150</xdr:colOff>
      <xdr:row>23</xdr:row>
      <xdr:rowOff>238125</xdr:rowOff>
    </xdr:from>
    <xdr:ext cx="361950" cy="180975"/>
    <xdr:sp>
      <xdr:nvSpPr>
        <xdr:cNvPr id="33" name="Shape 33"/>
        <xdr:cNvSpPr txBox="1"/>
      </xdr:nvSpPr>
      <xdr:spPr>
        <a:xfrm>
          <a:off x="5169788" y="3694275"/>
          <a:ext cx="35242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N</a:t>
          </a:r>
          <a:endParaRPr sz="1400"/>
        </a:p>
      </xdr:txBody>
    </xdr:sp>
    <xdr:clientData fLocksWithSheet="0"/>
  </xdr:oneCellAnchor>
  <xdr:oneCellAnchor>
    <xdr:from>
      <xdr:col>13</xdr:col>
      <xdr:colOff>123825</xdr:colOff>
      <xdr:row>25</xdr:row>
      <xdr:rowOff>228600</xdr:rowOff>
    </xdr:from>
    <xdr:ext cx="200025" cy="180975"/>
    <xdr:sp>
      <xdr:nvSpPr>
        <xdr:cNvPr id="34" name="Shape 34"/>
        <xdr:cNvSpPr txBox="1"/>
      </xdr:nvSpPr>
      <xdr:spPr>
        <a:xfrm>
          <a:off x="5250750" y="3694275"/>
          <a:ext cx="190500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Y</a:t>
          </a:r>
          <a:endParaRPr sz="1400"/>
        </a:p>
      </xdr:txBody>
    </xdr:sp>
    <xdr:clientData fLocksWithSheet="0"/>
  </xdr:oneCellAnchor>
  <xdr:oneCellAnchor>
    <xdr:from>
      <xdr:col>13</xdr:col>
      <xdr:colOff>19050</xdr:colOff>
      <xdr:row>18</xdr:row>
      <xdr:rowOff>152400</xdr:rowOff>
    </xdr:from>
    <xdr:ext cx="371475" cy="895350"/>
    <xdr:grpSp>
      <xdr:nvGrpSpPr>
        <xdr:cNvPr id="2" name="Shape 2"/>
        <xdr:cNvGrpSpPr/>
      </xdr:nvGrpSpPr>
      <xdr:grpSpPr>
        <a:xfrm>
          <a:off x="4903126" y="3598988"/>
          <a:ext cx="885900" cy="362100"/>
          <a:chOff x="4903126" y="3598988"/>
          <a:chExt cx="885900" cy="362100"/>
        </a:xfrm>
      </xdr:grpSpPr>
      <xdr:cxnSp>
        <xdr:nvCxnSpPr>
          <xdr:cNvPr id="35" name="Shape 35"/>
          <xdr:cNvCxnSpPr>
            <a:stCxn id="14" idx="2"/>
            <a:endCxn id="21" idx="1"/>
          </xdr:cNvCxnSpPr>
        </xdr:nvCxnSpPr>
        <xdr:spPr>
          <a:xfrm flipH="1" rot="-5400000">
            <a:off x="4903126" y="3598988"/>
            <a:ext cx="885900" cy="3621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60</xdr:row>
      <xdr:rowOff>-19050</xdr:rowOff>
    </xdr:from>
    <xdr:ext cx="219075" cy="38100"/>
    <xdr:sp>
      <xdr:nvSpPr>
        <xdr:cNvPr id="36" name="Shape 36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60</xdr:row>
      <xdr:rowOff>-19050</xdr:rowOff>
    </xdr:from>
    <xdr:ext cx="219075" cy="38100"/>
    <xdr:sp>
      <xdr:nvSpPr>
        <xdr:cNvPr id="37" name="Shape 37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60</xdr:row>
      <xdr:rowOff>-19050</xdr:rowOff>
    </xdr:from>
    <xdr:ext cx="219075" cy="38100"/>
    <xdr:sp>
      <xdr:nvSpPr>
        <xdr:cNvPr id="38" name="Shape 38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60</xdr:row>
      <xdr:rowOff>-19050</xdr:rowOff>
    </xdr:from>
    <xdr:ext cx="219075" cy="38100"/>
    <xdr:sp>
      <xdr:nvSpPr>
        <xdr:cNvPr id="39" name="Shape 39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  <c r="AS1" s="7" t="s">
        <v>1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6"/>
      <c r="BF1" s="8"/>
      <c r="BG1" s="8"/>
      <c r="BH1" s="8"/>
      <c r="BI1" s="8"/>
      <c r="BJ1" s="8"/>
    </row>
    <row r="2" ht="48.0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2" t="s">
        <v>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  <c r="AS2" s="7" t="s">
        <v>3</v>
      </c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6"/>
      <c r="BF2" s="8"/>
      <c r="BG2" s="8"/>
      <c r="BH2" s="8"/>
      <c r="BI2" s="8"/>
      <c r="BJ2" s="8"/>
    </row>
    <row r="3" ht="9.0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4"/>
      <c r="BG3" s="14"/>
      <c r="BH3" s="14"/>
      <c r="BI3" s="14"/>
      <c r="BJ3" s="14"/>
    </row>
    <row r="4" ht="16.5" customHeight="1">
      <c r="A4" s="1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16" t="s">
        <v>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9"/>
      <c r="BF4" s="14"/>
      <c r="BG4" s="14"/>
      <c r="BH4" s="14"/>
      <c r="BI4" s="14"/>
      <c r="BJ4" s="14"/>
    </row>
    <row r="5" ht="9.0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4"/>
      <c r="BF5" s="14"/>
      <c r="BG5" s="14"/>
      <c r="BH5" s="14"/>
      <c r="BI5" s="14"/>
      <c r="BJ5" s="14"/>
    </row>
    <row r="6" ht="24.75" customHeight="1">
      <c r="A6" s="25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6" t="s">
        <v>7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8"/>
      <c r="BF6" s="29"/>
      <c r="BG6" s="30"/>
      <c r="BH6" s="30"/>
      <c r="BI6" s="30"/>
      <c r="BJ6" s="30"/>
    </row>
    <row r="7" ht="24.75" customHeight="1">
      <c r="A7" s="31"/>
      <c r="L7" s="32"/>
      <c r="M7" s="3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5"/>
      <c r="BF7" s="29"/>
      <c r="BG7" s="30"/>
      <c r="BH7" s="30"/>
      <c r="BI7" s="30"/>
      <c r="BJ7" s="30"/>
    </row>
    <row r="8" ht="24.7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36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8"/>
      <c r="BF8" s="29"/>
      <c r="BG8" s="30"/>
      <c r="BH8" s="30"/>
      <c r="BI8" s="30"/>
      <c r="BJ8" s="30"/>
    </row>
    <row r="9" ht="24.75" customHeight="1">
      <c r="A9" s="25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26" t="s">
        <v>9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5"/>
      <c r="BF9" s="29"/>
      <c r="BG9" s="30"/>
      <c r="BH9" s="30"/>
      <c r="BI9" s="30"/>
      <c r="BJ9" s="30"/>
    </row>
    <row r="10" ht="24.75" customHeight="1">
      <c r="A10" s="31"/>
      <c r="L10" s="32"/>
      <c r="M10" s="33" t="s">
        <v>10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5"/>
      <c r="BF10" s="29"/>
      <c r="BG10" s="30"/>
      <c r="BH10" s="30"/>
      <c r="BI10" s="30"/>
      <c r="BJ10" s="30"/>
    </row>
    <row r="11" ht="24.7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36" t="s">
        <v>11</v>
      </c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8"/>
      <c r="BF11" s="29"/>
      <c r="BG11" s="30"/>
      <c r="BH11" s="30"/>
      <c r="BI11" s="30"/>
      <c r="BJ11" s="30"/>
    </row>
    <row r="12" ht="24.75" customHeight="1">
      <c r="A12" s="39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27" t="s">
        <v>13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8"/>
      <c r="BF12" s="8"/>
      <c r="BG12" s="8"/>
      <c r="BH12" s="8"/>
      <c r="BI12" s="8"/>
      <c r="BJ12" s="8"/>
    </row>
    <row r="13" ht="24.7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8"/>
      <c r="BF13" s="8"/>
      <c r="BG13" s="8"/>
      <c r="BH13" s="8"/>
      <c r="BI13" s="8"/>
      <c r="BJ13" s="8"/>
    </row>
    <row r="14" ht="24.75" customHeight="1">
      <c r="A14" s="39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40" t="s">
        <v>15</v>
      </c>
      <c r="N14" s="5"/>
      <c r="O14" s="5"/>
      <c r="P14" s="5"/>
      <c r="Q14" s="5"/>
      <c r="R14" s="5"/>
      <c r="S14" s="5"/>
      <c r="T14" s="5"/>
      <c r="U14" s="5"/>
      <c r="V14" s="5"/>
      <c r="W14" s="6"/>
      <c r="X14" s="40" t="s">
        <v>16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6"/>
      <c r="AL14" s="40" t="s">
        <v>17</v>
      </c>
      <c r="AM14" s="5"/>
      <c r="AN14" s="5"/>
      <c r="AO14" s="5"/>
      <c r="AP14" s="5"/>
      <c r="AQ14" s="5"/>
      <c r="AR14" s="6"/>
      <c r="AS14" s="40" t="s">
        <v>18</v>
      </c>
      <c r="AT14" s="5"/>
      <c r="AU14" s="5"/>
      <c r="AV14" s="5"/>
      <c r="AW14" s="5"/>
      <c r="AX14" s="5"/>
      <c r="AY14" s="5"/>
      <c r="AZ14" s="6"/>
      <c r="BA14" s="40" t="s">
        <v>19</v>
      </c>
      <c r="BB14" s="5"/>
      <c r="BC14" s="5"/>
      <c r="BD14" s="5"/>
      <c r="BE14" s="6"/>
      <c r="BF14" s="8"/>
      <c r="BG14" s="8"/>
      <c r="BH14" s="8"/>
      <c r="BI14" s="8"/>
      <c r="BJ14" s="8"/>
    </row>
    <row r="15" ht="24.75" customHeight="1">
      <c r="A15" s="31"/>
      <c r="L15" s="32"/>
      <c r="M15" s="41" t="s">
        <v>20</v>
      </c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4" t="s">
        <v>21</v>
      </c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3"/>
      <c r="AL15" s="44" t="s">
        <v>13</v>
      </c>
      <c r="AM15" s="42"/>
      <c r="AN15" s="42"/>
      <c r="AO15" s="42"/>
      <c r="AP15" s="42"/>
      <c r="AQ15" s="42"/>
      <c r="AR15" s="43"/>
      <c r="AS15" s="44" t="s">
        <v>22</v>
      </c>
      <c r="AT15" s="42"/>
      <c r="AU15" s="42"/>
      <c r="AV15" s="42"/>
      <c r="AW15" s="42"/>
      <c r="AX15" s="42"/>
      <c r="AY15" s="42"/>
      <c r="AZ15" s="43"/>
      <c r="BA15" s="44" t="s">
        <v>23</v>
      </c>
      <c r="BB15" s="42"/>
      <c r="BC15" s="42"/>
      <c r="BD15" s="42"/>
      <c r="BE15" s="43"/>
      <c r="BF15" s="8"/>
      <c r="BG15" s="8"/>
      <c r="BH15" s="8"/>
      <c r="BI15" s="8"/>
      <c r="BJ15" s="8"/>
    </row>
    <row r="16" ht="24.75" customHeight="1">
      <c r="A16" s="31"/>
      <c r="L16" s="32"/>
      <c r="M16" s="45"/>
      <c r="N16" s="46"/>
      <c r="O16" s="46"/>
      <c r="P16" s="46"/>
      <c r="Q16" s="46"/>
      <c r="R16" s="46"/>
      <c r="S16" s="46"/>
      <c r="T16" s="46"/>
      <c r="U16" s="46"/>
      <c r="V16" s="46"/>
      <c r="W16" s="47"/>
      <c r="X16" s="48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7"/>
      <c r="AL16" s="48"/>
      <c r="AM16" s="46"/>
      <c r="AN16" s="46"/>
      <c r="AO16" s="46"/>
      <c r="AP16" s="46"/>
      <c r="AQ16" s="46"/>
      <c r="AR16" s="47"/>
      <c r="AS16" s="48"/>
      <c r="AT16" s="46"/>
      <c r="AU16" s="46"/>
      <c r="AV16" s="46"/>
      <c r="AW16" s="46"/>
      <c r="AX16" s="46"/>
      <c r="AY16" s="46"/>
      <c r="AZ16" s="47"/>
      <c r="BA16" s="48"/>
      <c r="BB16" s="46"/>
      <c r="BC16" s="46"/>
      <c r="BD16" s="46"/>
      <c r="BE16" s="47"/>
      <c r="BF16" s="8"/>
      <c r="BG16" s="8"/>
      <c r="BH16" s="8"/>
      <c r="BI16" s="8"/>
      <c r="BJ16" s="8"/>
    </row>
    <row r="17" ht="24.75" customHeight="1">
      <c r="A17" s="31"/>
      <c r="L17" s="32"/>
      <c r="M17" s="49"/>
      <c r="N17" s="50"/>
      <c r="O17" s="50"/>
      <c r="P17" s="50"/>
      <c r="Q17" s="50"/>
      <c r="R17" s="50"/>
      <c r="S17" s="50"/>
      <c r="T17" s="50"/>
      <c r="U17" s="50"/>
      <c r="V17" s="50"/>
      <c r="W17" s="51"/>
      <c r="X17" s="48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7"/>
      <c r="AL17" s="52"/>
      <c r="AM17" s="50"/>
      <c r="AN17" s="50"/>
      <c r="AO17" s="50"/>
      <c r="AP17" s="50"/>
      <c r="AQ17" s="50"/>
      <c r="AR17" s="51"/>
      <c r="AS17" s="52"/>
      <c r="AT17" s="50"/>
      <c r="AU17" s="50"/>
      <c r="AV17" s="50"/>
      <c r="AW17" s="50"/>
      <c r="AX17" s="50"/>
      <c r="AY17" s="50"/>
      <c r="AZ17" s="51"/>
      <c r="BA17" s="52"/>
      <c r="BB17" s="50"/>
      <c r="BC17" s="50"/>
      <c r="BD17" s="50"/>
      <c r="BE17" s="51"/>
      <c r="BF17" s="8"/>
      <c r="BG17" s="8"/>
      <c r="BH17" s="8"/>
      <c r="BI17" s="8"/>
      <c r="BJ17" s="8"/>
    </row>
    <row r="18" ht="24.75" customHeight="1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5"/>
      <c r="M18" s="56"/>
      <c r="N18" s="57"/>
      <c r="O18" s="58"/>
      <c r="P18" s="58"/>
      <c r="Q18" s="58"/>
      <c r="R18" s="58"/>
      <c r="S18" s="58"/>
      <c r="T18" s="58"/>
      <c r="U18" s="58"/>
      <c r="V18" s="58"/>
      <c r="W18" s="58"/>
      <c r="X18" s="59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7"/>
      <c r="AL18" s="48"/>
      <c r="AM18" s="46"/>
      <c r="AN18" s="46"/>
      <c r="AO18" s="46"/>
      <c r="AP18" s="46"/>
      <c r="AQ18" s="46"/>
      <c r="AR18" s="47"/>
      <c r="AS18" s="48"/>
      <c r="AT18" s="46"/>
      <c r="AU18" s="46"/>
      <c r="AV18" s="46"/>
      <c r="AW18" s="46"/>
      <c r="AX18" s="46"/>
      <c r="AY18" s="46"/>
      <c r="AZ18" s="47"/>
      <c r="BA18" s="34"/>
      <c r="BB18" s="58"/>
      <c r="BC18" s="58"/>
      <c r="BD18" s="58"/>
      <c r="BE18" s="60"/>
      <c r="BF18" s="8"/>
      <c r="BG18" s="8"/>
      <c r="BH18" s="8"/>
      <c r="BI18" s="8"/>
      <c r="BJ18" s="8"/>
    </row>
    <row r="19" ht="24.75" customHeight="1">
      <c r="A19" s="39" t="s">
        <v>24</v>
      </c>
      <c r="B19" s="2"/>
      <c r="C19" s="2"/>
      <c r="D19" s="2"/>
      <c r="E19" s="2"/>
      <c r="F19" s="2"/>
      <c r="G19" s="3"/>
      <c r="H19" s="61" t="s">
        <v>25</v>
      </c>
      <c r="I19" s="2"/>
      <c r="J19" s="2"/>
      <c r="K19" s="2"/>
      <c r="L19" s="3"/>
      <c r="M19" s="62" t="s">
        <v>26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4"/>
      <c r="BF19" s="8"/>
      <c r="BG19" s="8"/>
      <c r="BH19" s="8"/>
      <c r="BI19" s="8"/>
      <c r="BJ19" s="8"/>
    </row>
    <row r="20" ht="24.75" customHeight="1">
      <c r="A20" s="31"/>
      <c r="G20" s="32"/>
      <c r="H20" s="9"/>
      <c r="I20" s="10"/>
      <c r="J20" s="10"/>
      <c r="K20" s="10"/>
      <c r="L20" s="11"/>
      <c r="M20" s="23" t="s">
        <v>27</v>
      </c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6"/>
      <c r="BF20" s="8"/>
      <c r="BG20" s="8"/>
      <c r="BH20" s="8"/>
      <c r="BI20" s="8"/>
      <c r="BJ20" s="8"/>
    </row>
    <row r="21" ht="24.75" customHeight="1">
      <c r="A21" s="31"/>
      <c r="G21" s="32"/>
      <c r="H21" s="61" t="s">
        <v>28</v>
      </c>
      <c r="I21" s="2"/>
      <c r="J21" s="2"/>
      <c r="K21" s="2"/>
      <c r="L21" s="3"/>
      <c r="M21" s="62" t="s">
        <v>29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4"/>
      <c r="BF21" s="8"/>
      <c r="BG21" s="8"/>
      <c r="BH21" s="8"/>
      <c r="BI21" s="8"/>
      <c r="BJ21" s="8"/>
    </row>
    <row r="22" ht="24.75" customHeight="1">
      <c r="A22" s="9"/>
      <c r="B22" s="10"/>
      <c r="C22" s="10"/>
      <c r="D22" s="10"/>
      <c r="E22" s="10"/>
      <c r="F22" s="10"/>
      <c r="G22" s="11"/>
      <c r="H22" s="9"/>
      <c r="I22" s="10"/>
      <c r="J22" s="10"/>
      <c r="K22" s="10"/>
      <c r="L22" s="11"/>
      <c r="M22" s="67" t="s">
        <v>30</v>
      </c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6"/>
      <c r="BF22" s="8"/>
      <c r="BG22" s="8"/>
      <c r="BH22" s="8"/>
      <c r="BI22" s="8"/>
      <c r="BJ22" s="8"/>
    </row>
    <row r="23" ht="24.75" customHeight="1">
      <c r="A23" s="39" t="s">
        <v>31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68" t="s">
        <v>32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4"/>
      <c r="BF23" s="8"/>
      <c r="BG23" s="8"/>
      <c r="BH23" s="8"/>
      <c r="BI23" s="8"/>
      <c r="BJ23" s="8"/>
    </row>
    <row r="24" ht="24.75" customHeight="1">
      <c r="A24" s="31"/>
      <c r="L24" s="32"/>
      <c r="M24" s="69"/>
      <c r="N24" s="70" t="s">
        <v>33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1"/>
      <c r="BF24" s="8"/>
      <c r="BG24" s="8"/>
      <c r="BH24" s="8"/>
      <c r="BI24" s="8"/>
      <c r="BJ24" s="8"/>
    </row>
    <row r="25" ht="24.75" customHeight="1">
      <c r="A25" s="31"/>
      <c r="L25" s="32"/>
      <c r="M25" s="72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1"/>
      <c r="BF25" s="8"/>
      <c r="BG25" s="8"/>
      <c r="BH25" s="8"/>
      <c r="BI25" s="8"/>
      <c r="BJ25" s="8"/>
    </row>
    <row r="26" ht="24.7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67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4"/>
      <c r="BF26" s="8"/>
      <c r="BG26" s="8"/>
      <c r="BH26" s="8"/>
      <c r="BI26" s="8"/>
      <c r="BJ26" s="8"/>
    </row>
    <row r="27" ht="9.0" customHeight="1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75"/>
      <c r="BF27" s="8"/>
      <c r="BG27" s="8"/>
      <c r="BH27" s="8"/>
      <c r="BI27" s="8"/>
      <c r="BJ27" s="8"/>
    </row>
    <row r="28" ht="25.5" customHeight="1">
      <c r="A28" s="76" t="s">
        <v>34</v>
      </c>
      <c r="B28" s="5"/>
      <c r="C28" s="5"/>
      <c r="D28" s="5"/>
      <c r="E28" s="5"/>
      <c r="F28" s="5"/>
      <c r="G28" s="5"/>
      <c r="H28" s="5"/>
      <c r="I28" s="5"/>
      <c r="J28" s="5"/>
      <c r="K28" s="77"/>
      <c r="L28" s="78"/>
      <c r="M28" s="7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80"/>
      <c r="BF28" s="8"/>
      <c r="BG28" s="8"/>
      <c r="BH28" s="8"/>
      <c r="BI28" s="8"/>
      <c r="BJ28" s="8"/>
    </row>
    <row r="29" ht="21.75" customHeight="1">
      <c r="A29" s="40" t="s">
        <v>35</v>
      </c>
      <c r="B29" s="5"/>
      <c r="C29" s="5"/>
      <c r="D29" s="5"/>
      <c r="E29" s="6"/>
      <c r="F29" s="40" t="s">
        <v>36</v>
      </c>
      <c r="G29" s="5"/>
      <c r="H29" s="5"/>
      <c r="I29" s="5"/>
      <c r="J29" s="5"/>
      <c r="K29" s="5"/>
      <c r="L29" s="6"/>
      <c r="M29" s="40" t="s">
        <v>37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6"/>
      <c r="AQ29" s="40" t="s">
        <v>38</v>
      </c>
      <c r="AR29" s="5"/>
      <c r="AS29" s="5"/>
      <c r="AT29" s="5"/>
      <c r="AU29" s="6"/>
      <c r="AV29" s="40" t="s">
        <v>39</v>
      </c>
      <c r="AW29" s="5"/>
      <c r="AX29" s="5"/>
      <c r="AY29" s="5"/>
      <c r="AZ29" s="6"/>
      <c r="BA29" s="40" t="s">
        <v>40</v>
      </c>
      <c r="BB29" s="5"/>
      <c r="BC29" s="5"/>
      <c r="BD29" s="5"/>
      <c r="BE29" s="6"/>
      <c r="BF29" s="8"/>
      <c r="BG29" s="8"/>
      <c r="BH29" s="8"/>
      <c r="BI29" s="8"/>
      <c r="BJ29" s="8"/>
    </row>
    <row r="30" ht="24.0" customHeight="1">
      <c r="A30" s="44">
        <v>0.0</v>
      </c>
      <c r="B30" s="42"/>
      <c r="C30" s="42"/>
      <c r="D30" s="42"/>
      <c r="E30" s="43"/>
      <c r="F30" s="81">
        <v>45805.0</v>
      </c>
      <c r="G30" s="42"/>
      <c r="H30" s="42"/>
      <c r="I30" s="42"/>
      <c r="J30" s="42"/>
      <c r="K30" s="42"/>
      <c r="L30" s="43"/>
      <c r="M30" s="70" t="s">
        <v>41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82" t="s">
        <v>42</v>
      </c>
      <c r="AR30" s="42"/>
      <c r="AS30" s="42"/>
      <c r="AT30" s="42"/>
      <c r="AU30" s="43"/>
      <c r="AV30" s="82" t="s">
        <v>42</v>
      </c>
      <c r="AW30" s="42"/>
      <c r="AX30" s="42"/>
      <c r="AY30" s="42"/>
      <c r="AZ30" s="43"/>
      <c r="BA30" s="82" t="s">
        <v>42</v>
      </c>
      <c r="BB30" s="42"/>
      <c r="BC30" s="42"/>
      <c r="BD30" s="42"/>
      <c r="BE30" s="43"/>
      <c r="BF30" s="8"/>
      <c r="BG30" s="8"/>
      <c r="BH30" s="8"/>
      <c r="BI30" s="8"/>
      <c r="BJ30" s="8"/>
    </row>
    <row r="31" ht="24.0" customHeight="1">
      <c r="A31" s="48">
        <v>1.0</v>
      </c>
      <c r="B31" s="46"/>
      <c r="C31" s="46"/>
      <c r="D31" s="46"/>
      <c r="E31" s="47"/>
      <c r="F31" s="83"/>
      <c r="G31" s="46"/>
      <c r="H31" s="46"/>
      <c r="I31" s="46"/>
      <c r="J31" s="46"/>
      <c r="K31" s="46"/>
      <c r="L31" s="47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84"/>
      <c r="AR31" s="46"/>
      <c r="AS31" s="46"/>
      <c r="AT31" s="46"/>
      <c r="AU31" s="47"/>
      <c r="AV31" s="84"/>
      <c r="AW31" s="46"/>
      <c r="AX31" s="46"/>
      <c r="AY31" s="46"/>
      <c r="AZ31" s="47"/>
      <c r="BA31" s="84"/>
      <c r="BB31" s="46"/>
      <c r="BC31" s="46"/>
      <c r="BD31" s="46"/>
      <c r="BE31" s="47"/>
      <c r="BF31" s="8"/>
      <c r="BG31" s="8"/>
      <c r="BH31" s="8"/>
      <c r="BI31" s="8"/>
      <c r="BJ31" s="8"/>
    </row>
    <row r="32" ht="24.0" customHeight="1">
      <c r="A32" s="48">
        <v>2.0</v>
      </c>
      <c r="B32" s="46"/>
      <c r="C32" s="46"/>
      <c r="D32" s="46"/>
      <c r="E32" s="47"/>
      <c r="F32" s="83"/>
      <c r="G32" s="46"/>
      <c r="H32" s="46"/>
      <c r="I32" s="46"/>
      <c r="J32" s="46"/>
      <c r="K32" s="46"/>
      <c r="L32" s="47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84"/>
      <c r="AR32" s="46"/>
      <c r="AS32" s="46"/>
      <c r="AT32" s="46"/>
      <c r="AU32" s="47"/>
      <c r="AV32" s="84"/>
      <c r="AW32" s="46"/>
      <c r="AX32" s="46"/>
      <c r="AY32" s="46"/>
      <c r="AZ32" s="47"/>
      <c r="BA32" s="84"/>
      <c r="BB32" s="46"/>
      <c r="BC32" s="46"/>
      <c r="BD32" s="46"/>
      <c r="BE32" s="47"/>
      <c r="BF32" s="8"/>
      <c r="BG32" s="8"/>
      <c r="BH32" s="8"/>
      <c r="BI32" s="8"/>
      <c r="BJ32" s="8"/>
    </row>
    <row r="33" ht="24.0" customHeight="1">
      <c r="A33" s="48">
        <v>3.0</v>
      </c>
      <c r="B33" s="46"/>
      <c r="C33" s="46"/>
      <c r="D33" s="46"/>
      <c r="E33" s="47"/>
      <c r="F33" s="83"/>
      <c r="G33" s="46"/>
      <c r="H33" s="46"/>
      <c r="I33" s="46"/>
      <c r="J33" s="46"/>
      <c r="K33" s="46"/>
      <c r="L33" s="47"/>
      <c r="M33" s="72"/>
      <c r="N33" s="70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4"/>
      <c r="AR33" s="46"/>
      <c r="AS33" s="46"/>
      <c r="AT33" s="46"/>
      <c r="AU33" s="47"/>
      <c r="AV33" s="84"/>
      <c r="AW33" s="46"/>
      <c r="AX33" s="46"/>
      <c r="AY33" s="46"/>
      <c r="AZ33" s="47"/>
      <c r="BA33" s="84"/>
      <c r="BB33" s="46"/>
      <c r="BC33" s="46"/>
      <c r="BD33" s="46"/>
      <c r="BE33" s="47"/>
      <c r="BF33" s="8"/>
      <c r="BG33" s="8"/>
      <c r="BH33" s="8"/>
      <c r="BI33" s="8"/>
      <c r="BJ33" s="8"/>
    </row>
    <row r="34" ht="24.0" customHeight="1">
      <c r="A34" s="48">
        <v>4.0</v>
      </c>
      <c r="B34" s="46"/>
      <c r="C34" s="46"/>
      <c r="D34" s="46"/>
      <c r="E34" s="47"/>
      <c r="F34" s="83"/>
      <c r="G34" s="46"/>
      <c r="H34" s="46"/>
      <c r="I34" s="46"/>
      <c r="J34" s="46"/>
      <c r="K34" s="46"/>
      <c r="L34" s="47"/>
      <c r="M34" s="72"/>
      <c r="N34" s="70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4"/>
      <c r="AR34" s="46"/>
      <c r="AS34" s="46"/>
      <c r="AT34" s="46"/>
      <c r="AU34" s="47"/>
      <c r="AV34" s="84"/>
      <c r="AW34" s="46"/>
      <c r="AX34" s="46"/>
      <c r="AY34" s="46"/>
      <c r="AZ34" s="47"/>
      <c r="BA34" s="84"/>
      <c r="BB34" s="46"/>
      <c r="BC34" s="46"/>
      <c r="BD34" s="46"/>
      <c r="BE34" s="47"/>
      <c r="BF34" s="8"/>
      <c r="BG34" s="8"/>
      <c r="BH34" s="8"/>
      <c r="BI34" s="8"/>
      <c r="BJ34" s="8"/>
    </row>
    <row r="35" ht="24.0" customHeight="1">
      <c r="A35" s="48">
        <v>5.0</v>
      </c>
      <c r="B35" s="46"/>
      <c r="C35" s="46"/>
      <c r="D35" s="46"/>
      <c r="E35" s="47"/>
      <c r="F35" s="83"/>
      <c r="G35" s="46"/>
      <c r="H35" s="46"/>
      <c r="I35" s="46"/>
      <c r="J35" s="46"/>
      <c r="K35" s="46"/>
      <c r="L35" s="47"/>
      <c r="M35" s="70"/>
      <c r="N35" s="70"/>
      <c r="O35" s="70"/>
      <c r="P35" s="70"/>
      <c r="Q35" s="70"/>
      <c r="R35" s="70"/>
      <c r="S35" s="70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4"/>
      <c r="AR35" s="46"/>
      <c r="AS35" s="46"/>
      <c r="AT35" s="46"/>
      <c r="AU35" s="47"/>
      <c r="AV35" s="84"/>
      <c r="AW35" s="46"/>
      <c r="AX35" s="46"/>
      <c r="AY35" s="46"/>
      <c r="AZ35" s="47"/>
      <c r="BA35" s="84"/>
      <c r="BB35" s="46"/>
      <c r="BC35" s="46"/>
      <c r="BD35" s="46"/>
      <c r="BE35" s="47"/>
      <c r="BF35" s="8"/>
      <c r="BG35" s="8"/>
      <c r="BH35" s="8"/>
      <c r="BI35" s="8"/>
      <c r="BJ35" s="8"/>
    </row>
    <row r="36" ht="24.0" customHeight="1">
      <c r="A36" s="59"/>
      <c r="B36" s="46"/>
      <c r="C36" s="46"/>
      <c r="D36" s="46"/>
      <c r="E36" s="47"/>
      <c r="F36" s="59"/>
      <c r="G36" s="46"/>
      <c r="H36" s="46"/>
      <c r="I36" s="46"/>
      <c r="J36" s="46"/>
      <c r="K36" s="46"/>
      <c r="L36" s="47"/>
      <c r="M36" s="70"/>
      <c r="N36" s="70"/>
      <c r="O36" s="70"/>
      <c r="P36" s="70"/>
      <c r="Q36" s="70"/>
      <c r="R36" s="70"/>
      <c r="S36" s="70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6"/>
      <c r="AQ36" s="85"/>
      <c r="AR36" s="85"/>
      <c r="AS36" s="85"/>
      <c r="AT36" s="85"/>
      <c r="AU36" s="85"/>
      <c r="AV36" s="89"/>
      <c r="AW36" s="85"/>
      <c r="AX36" s="85"/>
      <c r="AY36" s="85"/>
      <c r="AZ36" s="86"/>
      <c r="BA36" s="85"/>
      <c r="BB36" s="85"/>
      <c r="BC36" s="85"/>
      <c r="BD36" s="85"/>
      <c r="BE36" s="86"/>
      <c r="BF36" s="8"/>
      <c r="BG36" s="8"/>
      <c r="BH36" s="8"/>
      <c r="BI36" s="8"/>
      <c r="BJ36" s="8"/>
    </row>
    <row r="37" ht="24.0" customHeight="1">
      <c r="A37" s="90"/>
      <c r="B37" s="91"/>
      <c r="C37" s="91"/>
      <c r="D37" s="91"/>
      <c r="E37" s="92"/>
      <c r="F37" s="90"/>
      <c r="G37" s="91"/>
      <c r="H37" s="91"/>
      <c r="I37" s="91"/>
      <c r="J37" s="91"/>
      <c r="K37" s="91"/>
      <c r="L37" s="92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4"/>
      <c r="AQ37" s="93"/>
      <c r="AR37" s="93"/>
      <c r="AS37" s="93"/>
      <c r="AT37" s="93"/>
      <c r="AU37" s="93"/>
      <c r="AV37" s="95"/>
      <c r="AW37" s="93"/>
      <c r="AX37" s="93"/>
      <c r="AY37" s="93"/>
      <c r="AZ37" s="94"/>
      <c r="BA37" s="93"/>
      <c r="BB37" s="93"/>
      <c r="BC37" s="93"/>
      <c r="BD37" s="93"/>
      <c r="BE37" s="94"/>
      <c r="BF37" s="8"/>
      <c r="BG37" s="8"/>
      <c r="BH37" s="8"/>
      <c r="BI37" s="8"/>
      <c r="BJ37" s="8"/>
    </row>
    <row r="38" ht="18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8"/>
      <c r="BG38" s="8"/>
      <c r="BH38" s="8"/>
      <c r="BI38" s="8"/>
      <c r="BJ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7" width="1.86"/>
  </cols>
  <sheetData>
    <row r="1" ht="20.25" customHeight="1">
      <c r="A1" s="97" t="str">
        <f>'1'!M2</f>
        <v>고객만족도 관리 절차서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98" t="s">
        <v>43</v>
      </c>
      <c r="AO1" s="5"/>
      <c r="AP1" s="5"/>
      <c r="AQ1" s="5"/>
      <c r="AR1" s="5"/>
      <c r="AS1" s="6"/>
      <c r="AT1" s="98" t="s">
        <v>44</v>
      </c>
      <c r="AU1" s="5"/>
      <c r="AV1" s="5"/>
      <c r="AW1" s="5"/>
      <c r="AX1" s="5"/>
      <c r="AY1" s="5"/>
      <c r="AZ1" s="5"/>
      <c r="BA1" s="6"/>
      <c r="BB1" s="69"/>
      <c r="BC1" s="99"/>
      <c r="BD1" s="99"/>
      <c r="BE1" s="99"/>
      <c r="BF1" s="99"/>
      <c r="BG1" s="100"/>
      <c r="BH1" s="100"/>
      <c r="BI1" s="100"/>
      <c r="BJ1" s="100"/>
      <c r="BK1" s="100"/>
      <c r="BL1" s="100"/>
      <c r="BM1" s="100"/>
      <c r="BN1" s="100"/>
      <c r="BO1" s="100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  <c r="AN2" s="98" t="s">
        <v>45</v>
      </c>
      <c r="AO2" s="5"/>
      <c r="AP2" s="5"/>
      <c r="AQ2" s="5"/>
      <c r="AR2" s="5"/>
      <c r="AS2" s="6"/>
      <c r="AT2" s="101">
        <v>1.0</v>
      </c>
      <c r="AU2" s="5"/>
      <c r="AV2" s="5"/>
      <c r="AW2" s="5"/>
      <c r="AX2" s="5"/>
      <c r="AY2" s="5"/>
      <c r="AZ2" s="5"/>
      <c r="BA2" s="6"/>
      <c r="BB2" s="69"/>
      <c r="BC2" s="99"/>
      <c r="BD2" s="99"/>
      <c r="BE2" s="99"/>
      <c r="BF2" s="99"/>
      <c r="BG2" s="100"/>
      <c r="BH2" s="100"/>
      <c r="BI2" s="100"/>
      <c r="BJ2" s="100"/>
      <c r="BK2" s="100"/>
      <c r="BL2" s="102"/>
      <c r="BM2" s="102"/>
      <c r="BN2" s="102"/>
      <c r="BO2" s="102"/>
    </row>
    <row r="3" ht="20.25" customHeight="1">
      <c r="A3" s="103" t="s">
        <v>46</v>
      </c>
      <c r="B3" s="5"/>
      <c r="C3" s="5"/>
      <c r="D3" s="5"/>
      <c r="E3" s="5"/>
      <c r="F3" s="6"/>
      <c r="G3" s="104">
        <v>45805.0</v>
      </c>
      <c r="H3" s="5"/>
      <c r="I3" s="5"/>
      <c r="J3" s="5"/>
      <c r="K3" s="5"/>
      <c r="L3" s="5"/>
      <c r="M3" s="6"/>
      <c r="N3" s="103" t="s">
        <v>47</v>
      </c>
      <c r="O3" s="5"/>
      <c r="P3" s="5"/>
      <c r="Q3" s="5"/>
      <c r="R3" s="5"/>
      <c r="S3" s="5"/>
      <c r="T3" s="6"/>
      <c r="U3" s="103">
        <v>1.0</v>
      </c>
      <c r="V3" s="5"/>
      <c r="W3" s="5"/>
      <c r="X3" s="5"/>
      <c r="Y3" s="6"/>
      <c r="Z3" s="103" t="s">
        <v>48</v>
      </c>
      <c r="AA3" s="5"/>
      <c r="AB3" s="5"/>
      <c r="AC3" s="5"/>
      <c r="AD3" s="5"/>
      <c r="AE3" s="5"/>
      <c r="AF3" s="6"/>
      <c r="AG3" s="104">
        <v>45805.0</v>
      </c>
      <c r="AH3" s="5"/>
      <c r="AI3" s="5"/>
      <c r="AJ3" s="5"/>
      <c r="AK3" s="5"/>
      <c r="AL3" s="5"/>
      <c r="AM3" s="6"/>
      <c r="AN3" s="98" t="s">
        <v>49</v>
      </c>
      <c r="AO3" s="5"/>
      <c r="AP3" s="5"/>
      <c r="AQ3" s="5"/>
      <c r="AR3" s="5"/>
      <c r="AS3" s="6"/>
      <c r="AT3" s="105">
        <v>45805.0</v>
      </c>
      <c r="AU3" s="5"/>
      <c r="AV3" s="5"/>
      <c r="AW3" s="5"/>
      <c r="AX3" s="5"/>
      <c r="AY3" s="5"/>
      <c r="AZ3" s="5"/>
      <c r="BA3" s="6"/>
      <c r="BB3" s="69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</row>
    <row r="4" ht="16.5" customHeight="1">
      <c r="A4" s="22"/>
      <c r="B4" s="22"/>
      <c r="C4" s="22"/>
      <c r="D4" s="22"/>
      <c r="E4" s="22"/>
      <c r="F4" s="22"/>
      <c r="G4" s="22"/>
      <c r="H4" s="22"/>
      <c r="I4" s="22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22"/>
      <c r="AV4" s="22"/>
      <c r="AW4" s="22"/>
      <c r="AX4" s="22"/>
      <c r="AY4" s="22"/>
      <c r="AZ4" s="22"/>
      <c r="BA4" s="107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</row>
    <row r="5" ht="19.5" customHeight="1">
      <c r="A5" s="108" t="s">
        <v>50</v>
      </c>
      <c r="B5" s="109"/>
      <c r="C5" s="110" t="s">
        <v>51</v>
      </c>
      <c r="D5" s="111"/>
      <c r="E5" s="111"/>
      <c r="F5" s="111"/>
      <c r="G5" s="111"/>
      <c r="H5" s="111"/>
      <c r="I5" s="112"/>
      <c r="J5" s="113" t="s">
        <v>52</v>
      </c>
      <c r="K5" s="111"/>
      <c r="L5" s="111"/>
      <c r="M5" s="111"/>
      <c r="N5" s="111"/>
      <c r="O5" s="109"/>
      <c r="P5" s="114" t="s">
        <v>53</v>
      </c>
      <c r="Q5" s="111"/>
      <c r="R5" s="111"/>
      <c r="S5" s="111"/>
      <c r="T5" s="111"/>
      <c r="U5" s="109"/>
      <c r="V5" s="115" t="s">
        <v>54</v>
      </c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7"/>
      <c r="AU5" s="118" t="s">
        <v>55</v>
      </c>
      <c r="AV5" s="111"/>
      <c r="AW5" s="111"/>
      <c r="AX5" s="111"/>
      <c r="AY5" s="111"/>
      <c r="AZ5" s="111"/>
      <c r="BA5" s="10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</row>
    <row r="6" ht="19.5" customHeight="1">
      <c r="A6" s="9"/>
      <c r="B6" s="11"/>
      <c r="C6" s="9"/>
      <c r="D6" s="10"/>
      <c r="E6" s="10"/>
      <c r="F6" s="10"/>
      <c r="G6" s="10"/>
      <c r="H6" s="10"/>
      <c r="I6" s="119"/>
      <c r="J6" s="120"/>
      <c r="K6" s="10"/>
      <c r="L6" s="10"/>
      <c r="M6" s="10"/>
      <c r="N6" s="10"/>
      <c r="O6" s="11"/>
      <c r="P6" s="9"/>
      <c r="Q6" s="10"/>
      <c r="R6" s="10"/>
      <c r="S6" s="10"/>
      <c r="T6" s="10"/>
      <c r="U6" s="11"/>
      <c r="V6" s="121" t="s">
        <v>13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121" t="s">
        <v>56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122"/>
      <c r="AU6" s="123"/>
      <c r="AV6" s="10"/>
      <c r="AW6" s="10"/>
      <c r="AX6" s="10"/>
      <c r="AY6" s="10"/>
      <c r="AZ6" s="10"/>
      <c r="BA6" s="11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</row>
    <row r="7" ht="19.5" customHeight="1">
      <c r="A7" s="124" t="s">
        <v>57</v>
      </c>
      <c r="B7" s="3"/>
      <c r="C7" s="125" t="s">
        <v>58</v>
      </c>
      <c r="D7" s="126"/>
      <c r="E7" s="126"/>
      <c r="F7" s="126"/>
      <c r="G7" s="126"/>
      <c r="H7" s="126"/>
      <c r="I7" s="126"/>
      <c r="J7" s="127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9"/>
      <c r="AV7" s="130"/>
      <c r="AW7" s="130"/>
      <c r="AX7" s="130"/>
      <c r="AY7" s="130"/>
      <c r="AZ7" s="130"/>
      <c r="BA7" s="131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</row>
    <row r="8" ht="19.5" customHeight="1">
      <c r="A8" s="31"/>
      <c r="B8" s="32"/>
      <c r="C8" s="132" t="s">
        <v>59</v>
      </c>
      <c r="D8" s="133"/>
      <c r="E8" s="133"/>
      <c r="F8" s="133"/>
      <c r="G8" s="133"/>
      <c r="H8" s="133"/>
      <c r="I8" s="133"/>
      <c r="J8" s="134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135"/>
      <c r="AV8" s="132"/>
      <c r="AW8" s="132"/>
      <c r="AX8" s="132"/>
      <c r="AY8" s="132"/>
      <c r="AZ8" s="132"/>
      <c r="BA8" s="136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</row>
    <row r="9" ht="19.5" customHeight="1">
      <c r="A9" s="31"/>
      <c r="B9" s="32"/>
      <c r="C9" s="133" t="s">
        <v>60</v>
      </c>
      <c r="D9" s="133"/>
      <c r="E9" s="133"/>
      <c r="F9" s="133"/>
      <c r="G9" s="133"/>
      <c r="H9" s="133"/>
      <c r="I9" s="133"/>
      <c r="J9" s="134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135"/>
      <c r="AV9" s="132"/>
      <c r="AW9" s="132"/>
      <c r="AX9" s="132"/>
      <c r="AY9" s="132"/>
      <c r="AZ9" s="132"/>
      <c r="BA9" s="136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</row>
    <row r="10" ht="19.5" customHeight="1">
      <c r="A10" s="31"/>
      <c r="B10" s="32"/>
      <c r="C10" s="133"/>
      <c r="D10" s="133"/>
      <c r="E10" s="133"/>
      <c r="F10" s="133"/>
      <c r="G10" s="133"/>
      <c r="H10" s="133"/>
      <c r="I10" s="133"/>
      <c r="J10" s="134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135"/>
      <c r="AV10" s="132"/>
      <c r="AW10" s="132"/>
      <c r="AX10" s="132"/>
      <c r="AY10" s="132"/>
      <c r="AZ10" s="132"/>
      <c r="BA10" s="136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</row>
    <row r="11" ht="19.5" customHeight="1">
      <c r="A11" s="31"/>
      <c r="B11" s="32"/>
      <c r="C11" s="133"/>
      <c r="D11" s="133"/>
      <c r="E11" s="133"/>
      <c r="F11" s="133"/>
      <c r="G11" s="133"/>
      <c r="H11" s="133"/>
      <c r="I11" s="133"/>
      <c r="J11" s="134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135" t="s">
        <v>61</v>
      </c>
      <c r="AV11" s="132"/>
      <c r="AW11" s="132"/>
      <c r="AX11" s="132"/>
      <c r="AY11" s="132"/>
      <c r="AZ11" s="132"/>
      <c r="BA11" s="136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</row>
    <row r="12" ht="19.5" customHeight="1">
      <c r="A12" s="31"/>
      <c r="B12" s="32"/>
      <c r="C12" s="133"/>
      <c r="D12" s="133"/>
      <c r="E12" s="133"/>
      <c r="F12" s="133"/>
      <c r="G12" s="133"/>
      <c r="H12" s="133"/>
      <c r="I12" s="133"/>
      <c r="J12" s="134"/>
      <c r="K12" s="23"/>
      <c r="L12" s="23"/>
      <c r="M12" s="137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135" t="s">
        <v>62</v>
      </c>
      <c r="AV12" s="132"/>
      <c r="AW12" s="132"/>
      <c r="AX12" s="132"/>
      <c r="AY12" s="132"/>
      <c r="AZ12" s="132"/>
      <c r="BA12" s="136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</row>
    <row r="13" ht="19.5" customHeight="1">
      <c r="A13" s="31"/>
      <c r="B13" s="32"/>
      <c r="C13" s="133"/>
      <c r="D13" s="133"/>
      <c r="E13" s="133"/>
      <c r="F13" s="133"/>
      <c r="G13" s="133"/>
      <c r="H13" s="133"/>
      <c r="I13" s="133"/>
      <c r="J13" s="134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138"/>
      <c r="AV13" s="132"/>
      <c r="AW13" s="132"/>
      <c r="AX13" s="132"/>
      <c r="AY13" s="132"/>
      <c r="AZ13" s="132"/>
      <c r="BA13" s="136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</row>
    <row r="14" ht="19.5" customHeight="1">
      <c r="A14" s="31"/>
      <c r="B14" s="32"/>
      <c r="C14" s="133"/>
      <c r="D14" s="133"/>
      <c r="E14" s="133"/>
      <c r="F14" s="133"/>
      <c r="G14" s="133"/>
      <c r="H14" s="133"/>
      <c r="I14" s="133"/>
      <c r="J14" s="134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138"/>
      <c r="AV14" s="132"/>
      <c r="AW14" s="132"/>
      <c r="AX14" s="132"/>
      <c r="AY14" s="132"/>
      <c r="AZ14" s="132"/>
      <c r="BA14" s="136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</row>
    <row r="15" ht="19.5" customHeight="1">
      <c r="A15" s="31"/>
      <c r="B15" s="32"/>
      <c r="C15" s="133" t="s">
        <v>63</v>
      </c>
      <c r="D15" s="133"/>
      <c r="E15" s="133"/>
      <c r="F15" s="133"/>
      <c r="G15" s="133"/>
      <c r="H15" s="133"/>
      <c r="I15" s="133"/>
      <c r="J15" s="134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137"/>
      <c r="AM15" s="23"/>
      <c r="AN15" s="23"/>
      <c r="AO15" s="23"/>
      <c r="AP15" s="23"/>
      <c r="AQ15" s="23"/>
      <c r="AR15" s="23"/>
      <c r="AS15" s="23"/>
      <c r="AT15" s="23"/>
      <c r="AU15" s="135" t="s">
        <v>64</v>
      </c>
      <c r="AV15" s="132"/>
      <c r="AW15" s="132"/>
      <c r="AX15" s="132"/>
      <c r="AY15" s="132"/>
      <c r="AZ15" s="132"/>
      <c r="BA15" s="136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</row>
    <row r="16" ht="19.5" customHeight="1">
      <c r="A16" s="31"/>
      <c r="B16" s="32"/>
      <c r="C16" s="133" t="s">
        <v>65</v>
      </c>
      <c r="D16" s="133"/>
      <c r="E16" s="133"/>
      <c r="F16" s="133"/>
      <c r="G16" s="133"/>
      <c r="H16" s="133"/>
      <c r="I16" s="133"/>
      <c r="J16" s="134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137"/>
      <c r="AM16" s="23"/>
      <c r="AN16" s="23"/>
      <c r="AO16" s="23"/>
      <c r="AP16" s="23"/>
      <c r="AQ16" s="23"/>
      <c r="AR16" s="23"/>
      <c r="AS16" s="23"/>
      <c r="AT16" s="23"/>
      <c r="AU16" s="135" t="s">
        <v>66</v>
      </c>
      <c r="AV16" s="132"/>
      <c r="AW16" s="132"/>
      <c r="AX16" s="132"/>
      <c r="AY16" s="132"/>
      <c r="AZ16" s="132"/>
      <c r="BA16" s="136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</row>
    <row r="17" ht="19.5" customHeight="1">
      <c r="A17" s="31"/>
      <c r="B17" s="32"/>
      <c r="C17" s="133" t="s">
        <v>67</v>
      </c>
      <c r="D17" s="133"/>
      <c r="E17" s="133"/>
      <c r="F17" s="133"/>
      <c r="G17" s="133"/>
      <c r="H17" s="133"/>
      <c r="I17" s="133"/>
      <c r="J17" s="13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137"/>
      <c r="AM17" s="23"/>
      <c r="AN17" s="23"/>
      <c r="AO17" s="23"/>
      <c r="AP17" s="23"/>
      <c r="AQ17" s="23"/>
      <c r="AR17" s="23"/>
      <c r="AS17" s="23"/>
      <c r="AT17" s="23"/>
      <c r="AU17" s="135" t="s">
        <v>68</v>
      </c>
      <c r="AV17" s="132"/>
      <c r="AW17" s="132"/>
      <c r="AX17" s="132"/>
      <c r="AY17" s="132"/>
      <c r="AZ17" s="132"/>
      <c r="BA17" s="136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</row>
    <row r="18" ht="19.5" customHeight="1">
      <c r="A18" s="31"/>
      <c r="B18" s="32"/>
      <c r="C18" s="139"/>
      <c r="D18" s="133"/>
      <c r="E18" s="133"/>
      <c r="F18" s="133"/>
      <c r="G18" s="133"/>
      <c r="H18" s="133"/>
      <c r="I18" s="140"/>
      <c r="J18" s="13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135"/>
      <c r="AV18" s="132"/>
      <c r="AW18" s="132"/>
      <c r="AX18" s="132"/>
      <c r="AY18" s="132"/>
      <c r="AZ18" s="132"/>
      <c r="BA18" s="136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</row>
    <row r="19" ht="19.5" customHeight="1">
      <c r="A19" s="31"/>
      <c r="B19" s="32"/>
      <c r="C19" s="139" t="s">
        <v>69</v>
      </c>
      <c r="D19" s="133"/>
      <c r="E19" s="133"/>
      <c r="F19" s="133"/>
      <c r="G19" s="133"/>
      <c r="H19" s="133"/>
      <c r="I19" s="140"/>
      <c r="J19" s="13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135" t="s">
        <v>70</v>
      </c>
      <c r="AV19" s="132"/>
      <c r="AW19" s="132"/>
      <c r="AX19" s="132"/>
      <c r="AY19" s="132"/>
      <c r="AZ19" s="132"/>
      <c r="BA19" s="136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</row>
    <row r="20" ht="19.5" customHeight="1">
      <c r="A20" s="31"/>
      <c r="B20" s="32"/>
      <c r="C20" s="139" t="s">
        <v>71</v>
      </c>
      <c r="D20" s="133"/>
      <c r="E20" s="133"/>
      <c r="F20" s="133"/>
      <c r="G20" s="133"/>
      <c r="H20" s="133"/>
      <c r="I20" s="140"/>
      <c r="J20" s="134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135"/>
      <c r="AV20" s="132"/>
      <c r="AW20" s="132"/>
      <c r="AX20" s="132"/>
      <c r="AY20" s="132"/>
      <c r="AZ20" s="132"/>
      <c r="BA20" s="136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</row>
    <row r="21" ht="19.5" customHeight="1">
      <c r="A21" s="141"/>
      <c r="B21" s="142"/>
      <c r="C21" s="143" t="s">
        <v>72</v>
      </c>
      <c r="D21" s="144"/>
      <c r="E21" s="144"/>
      <c r="F21" s="144"/>
      <c r="G21" s="144"/>
      <c r="H21" s="144"/>
      <c r="I21" s="145"/>
      <c r="J21" s="146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8"/>
      <c r="AV21" s="149"/>
      <c r="AW21" s="149"/>
      <c r="AX21" s="149"/>
      <c r="AY21" s="149"/>
      <c r="AZ21" s="149"/>
      <c r="BA21" s="150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</row>
    <row r="22" ht="19.5" customHeight="1">
      <c r="A22" s="151" t="s">
        <v>73</v>
      </c>
      <c r="B22" s="152"/>
      <c r="C22" s="153"/>
      <c r="D22" s="154"/>
      <c r="E22" s="154"/>
      <c r="F22" s="154"/>
      <c r="G22" s="154"/>
      <c r="H22" s="154"/>
      <c r="I22" s="155"/>
      <c r="J22" s="156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8" t="s">
        <v>74</v>
      </c>
      <c r="AV22" s="159"/>
      <c r="AW22" s="159"/>
      <c r="AX22" s="159"/>
      <c r="AY22" s="159"/>
      <c r="AZ22" s="159"/>
      <c r="BA22" s="160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</row>
    <row r="23" ht="19.5" customHeight="1">
      <c r="A23" s="31"/>
      <c r="B23" s="32"/>
      <c r="C23" s="139" t="s">
        <v>75</v>
      </c>
      <c r="D23" s="133"/>
      <c r="E23" s="133"/>
      <c r="F23" s="133"/>
      <c r="G23" s="133"/>
      <c r="H23" s="133"/>
      <c r="I23" s="140"/>
      <c r="J23" s="13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161" t="s">
        <v>76</v>
      </c>
      <c r="AV23" s="132"/>
      <c r="AW23" s="132"/>
      <c r="AX23" s="132"/>
      <c r="AY23" s="132"/>
      <c r="AZ23" s="132"/>
      <c r="BA23" s="136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</row>
    <row r="24" ht="19.5" customHeight="1">
      <c r="A24" s="31"/>
      <c r="B24" s="32"/>
      <c r="C24" s="139" t="s">
        <v>77</v>
      </c>
      <c r="D24" s="133"/>
      <c r="E24" s="133"/>
      <c r="F24" s="133"/>
      <c r="G24" s="133"/>
      <c r="H24" s="133"/>
      <c r="I24" s="140"/>
      <c r="J24" s="134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162"/>
      <c r="AV24" s="132"/>
      <c r="AW24" s="132"/>
      <c r="AX24" s="132"/>
      <c r="AY24" s="132"/>
      <c r="AZ24" s="132"/>
      <c r="BA24" s="136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</row>
    <row r="25" ht="19.5" customHeight="1">
      <c r="A25" s="31"/>
      <c r="B25" s="32"/>
      <c r="C25" s="139"/>
      <c r="D25" s="133"/>
      <c r="E25" s="133"/>
      <c r="F25" s="133"/>
      <c r="G25" s="133"/>
      <c r="H25" s="133"/>
      <c r="I25" s="140"/>
      <c r="J25" s="134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162"/>
      <c r="AV25" s="132"/>
      <c r="AW25" s="132"/>
      <c r="AX25" s="132"/>
      <c r="AY25" s="132"/>
      <c r="AZ25" s="132"/>
      <c r="BA25" s="136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</row>
    <row r="26" ht="19.5" customHeight="1">
      <c r="A26" s="31"/>
      <c r="B26" s="32"/>
      <c r="C26" s="139" t="s">
        <v>78</v>
      </c>
      <c r="D26" s="133"/>
      <c r="E26" s="133"/>
      <c r="F26" s="133"/>
      <c r="G26" s="133"/>
      <c r="H26" s="133"/>
      <c r="I26" s="133"/>
      <c r="J26" s="134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162" t="s">
        <v>79</v>
      </c>
      <c r="AV26" s="132"/>
      <c r="AW26" s="132"/>
      <c r="AX26" s="132"/>
      <c r="AY26" s="132"/>
      <c r="AZ26" s="132"/>
      <c r="BA26" s="136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</row>
    <row r="27" ht="19.5" customHeight="1">
      <c r="A27" s="141"/>
      <c r="B27" s="142"/>
      <c r="C27" s="163"/>
      <c r="D27" s="144"/>
      <c r="E27" s="144"/>
      <c r="F27" s="144"/>
      <c r="G27" s="144"/>
      <c r="H27" s="144"/>
      <c r="I27" s="144"/>
      <c r="J27" s="146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64" t="s">
        <v>80</v>
      </c>
      <c r="AV27" s="149"/>
      <c r="AW27" s="149"/>
      <c r="AX27" s="149"/>
      <c r="AY27" s="149"/>
      <c r="AZ27" s="149"/>
      <c r="BA27" s="150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</row>
    <row r="28" ht="19.5" customHeight="1">
      <c r="A28" s="165" t="s">
        <v>81</v>
      </c>
      <c r="B28" s="152"/>
      <c r="C28" s="154"/>
      <c r="D28" s="154"/>
      <c r="E28" s="154"/>
      <c r="F28" s="154"/>
      <c r="G28" s="154"/>
      <c r="H28" s="154"/>
      <c r="I28" s="154"/>
      <c r="J28" s="156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8"/>
      <c r="AV28" s="154"/>
      <c r="AW28" s="154"/>
      <c r="AX28" s="159"/>
      <c r="AY28" s="159"/>
      <c r="AZ28" s="159"/>
      <c r="BA28" s="160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</row>
    <row r="29" ht="19.5" customHeight="1">
      <c r="A29" s="31"/>
      <c r="B29" s="32"/>
      <c r="C29" s="133" t="s">
        <v>82</v>
      </c>
      <c r="D29" s="133"/>
      <c r="E29" s="133"/>
      <c r="F29" s="133"/>
      <c r="G29" s="133"/>
      <c r="H29" s="133"/>
      <c r="I29" s="133"/>
      <c r="J29" s="134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135" t="s">
        <v>79</v>
      </c>
      <c r="AV29" s="166"/>
      <c r="AW29" s="166"/>
      <c r="AX29" s="166"/>
      <c r="AY29" s="166"/>
      <c r="AZ29" s="166"/>
      <c r="BA29" s="167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</row>
    <row r="30" ht="19.5" customHeight="1">
      <c r="A30" s="31"/>
      <c r="B30" s="32"/>
      <c r="C30" s="168"/>
      <c r="D30" s="168"/>
      <c r="E30" s="168"/>
      <c r="F30" s="168"/>
      <c r="G30" s="168"/>
      <c r="H30" s="168"/>
      <c r="I30" s="168"/>
      <c r="J30" s="134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162" t="s">
        <v>80</v>
      </c>
      <c r="AV30" s="132"/>
      <c r="AW30" s="132"/>
      <c r="AX30" s="132"/>
      <c r="AY30" s="132"/>
      <c r="AZ30" s="132"/>
      <c r="BA30" s="136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</row>
    <row r="31" ht="19.5" customHeight="1">
      <c r="A31" s="31"/>
      <c r="B31" s="32"/>
      <c r="C31" s="168"/>
      <c r="D31" s="168"/>
      <c r="E31" s="168"/>
      <c r="F31" s="168"/>
      <c r="G31" s="168"/>
      <c r="H31" s="168"/>
      <c r="I31" s="168"/>
      <c r="J31" s="134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162"/>
      <c r="AV31" s="132"/>
      <c r="AW31" s="132"/>
      <c r="AX31" s="132"/>
      <c r="AY31" s="132"/>
      <c r="AZ31" s="132"/>
      <c r="BA31" s="136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</row>
    <row r="32" ht="19.5" customHeight="1">
      <c r="A32" s="141"/>
      <c r="B32" s="142"/>
      <c r="C32" s="169"/>
      <c r="D32" s="169"/>
      <c r="E32" s="169"/>
      <c r="F32" s="169"/>
      <c r="G32" s="169"/>
      <c r="H32" s="169"/>
      <c r="I32" s="169"/>
      <c r="J32" s="146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64"/>
      <c r="AV32" s="149"/>
      <c r="AW32" s="149"/>
      <c r="AX32" s="149"/>
      <c r="AY32" s="149"/>
      <c r="AZ32" s="149"/>
      <c r="BA32" s="150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</row>
    <row r="33" ht="19.5" customHeight="1">
      <c r="A33" s="170" t="s">
        <v>83</v>
      </c>
      <c r="B33" s="109"/>
      <c r="C33" s="133"/>
      <c r="D33" s="168"/>
      <c r="E33" s="168"/>
      <c r="F33" s="168"/>
      <c r="G33" s="168"/>
      <c r="H33" s="168"/>
      <c r="I33" s="168"/>
      <c r="J33" s="134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162"/>
      <c r="AV33" s="132"/>
      <c r="AW33" s="132"/>
      <c r="AX33" s="132"/>
      <c r="AY33" s="132"/>
      <c r="AZ33" s="132"/>
      <c r="BA33" s="136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</row>
    <row r="34" ht="19.5" customHeight="1">
      <c r="A34" s="31"/>
      <c r="B34" s="32"/>
      <c r="C34" s="168"/>
      <c r="D34" s="168"/>
      <c r="E34" s="168"/>
      <c r="F34" s="168"/>
      <c r="G34" s="168"/>
      <c r="H34" s="168"/>
      <c r="I34" s="168"/>
      <c r="J34" s="134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162"/>
      <c r="AV34" s="132"/>
      <c r="AW34" s="132"/>
      <c r="AX34" s="132"/>
      <c r="AY34" s="132"/>
      <c r="AZ34" s="132"/>
      <c r="BA34" s="136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</row>
    <row r="35" ht="19.5" customHeight="1">
      <c r="A35" s="31"/>
      <c r="B35" s="32"/>
      <c r="C35" s="133" t="s">
        <v>84</v>
      </c>
      <c r="D35" s="168"/>
      <c r="E35" s="168"/>
      <c r="F35" s="168"/>
      <c r="G35" s="168"/>
      <c r="H35" s="168"/>
      <c r="I35" s="168"/>
      <c r="J35" s="134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162" t="s">
        <v>85</v>
      </c>
      <c r="AV35" s="132"/>
      <c r="AW35" s="132"/>
      <c r="AX35" s="132"/>
      <c r="AY35" s="132"/>
      <c r="AZ35" s="132"/>
      <c r="BA35" s="136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</row>
    <row r="36" ht="19.5" customHeight="1">
      <c r="A36" s="31"/>
      <c r="B36" s="32"/>
      <c r="C36" s="139"/>
      <c r="D36" s="171"/>
      <c r="E36" s="172"/>
      <c r="F36" s="133"/>
      <c r="G36" s="133"/>
      <c r="H36" s="133"/>
      <c r="I36" s="133"/>
      <c r="J36" s="134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135"/>
      <c r="AV36" s="132"/>
      <c r="AW36" s="132"/>
      <c r="AX36" s="132"/>
      <c r="AY36" s="132"/>
      <c r="AZ36" s="132"/>
      <c r="BA36" s="136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</row>
    <row r="37" ht="19.5" customHeight="1">
      <c r="A37" s="9"/>
      <c r="B37" s="11"/>
      <c r="C37" s="173"/>
      <c r="D37" s="174"/>
      <c r="E37" s="174"/>
      <c r="F37" s="175"/>
      <c r="G37" s="175"/>
      <c r="H37" s="175"/>
      <c r="I37" s="175"/>
      <c r="J37" s="176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8"/>
      <c r="AV37" s="179"/>
      <c r="AW37" s="179"/>
      <c r="AX37" s="179"/>
      <c r="AY37" s="179"/>
      <c r="AZ37" s="179"/>
      <c r="BA37" s="180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</row>
    <row r="38" ht="20.2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81"/>
      <c r="BA38" s="181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</row>
    <row r="39" ht="19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</row>
    <row r="40" ht="19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</row>
    <row r="41" ht="19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</row>
    <row r="42" ht="19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</row>
    <row r="43" ht="19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</row>
    <row r="44" ht="19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</row>
    <row r="45" ht="19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</row>
    <row r="46" ht="19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</row>
    <row r="47" ht="19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</row>
    <row r="48" ht="19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</row>
    <row r="49" ht="19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</row>
    <row r="50" ht="19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</row>
    <row r="51" ht="19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</row>
    <row r="52" ht="19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</row>
    <row r="53" ht="19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</row>
    <row r="54" ht="19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</row>
    <row r="55" ht="19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</row>
    <row r="56" ht="19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</row>
    <row r="57" ht="19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</row>
    <row r="58" ht="19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</row>
    <row r="59" ht="19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</row>
    <row r="60" ht="19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</row>
    <row r="61" ht="19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</row>
    <row r="62" ht="19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</row>
    <row r="63" ht="19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</row>
    <row r="64" ht="19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</row>
    <row r="65" ht="19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</row>
    <row r="66" ht="19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</row>
    <row r="67" ht="19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</row>
    <row r="68" ht="19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</row>
    <row r="69" ht="19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</row>
    <row r="70" ht="19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</row>
    <row r="71" ht="19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</row>
    <row r="72" ht="19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</row>
    <row r="73" ht="19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</row>
    <row r="74" ht="19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</row>
    <row r="75" ht="19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</row>
    <row r="76" ht="19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</row>
    <row r="77" ht="19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</row>
    <row r="78" ht="19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</row>
    <row r="79" ht="19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</row>
    <row r="80" ht="19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</row>
    <row r="81" ht="19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</row>
    <row r="82" ht="19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</row>
    <row r="83" ht="19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</row>
    <row r="84" ht="19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</row>
    <row r="85" ht="19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</row>
    <row r="86" ht="19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</row>
    <row r="87" ht="19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</row>
    <row r="88" ht="19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</row>
    <row r="89" ht="19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</row>
    <row r="90" ht="19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</row>
    <row r="91" ht="19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</row>
    <row r="92" ht="19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</row>
    <row r="93" ht="19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</row>
    <row r="94" ht="19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</row>
    <row r="95" ht="19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</row>
    <row r="96" ht="19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</row>
    <row r="97" ht="19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</row>
    <row r="98" ht="19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</row>
    <row r="99" ht="19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</row>
    <row r="100" ht="19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</row>
    <row r="101" ht="19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</row>
    <row r="102" ht="19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</row>
    <row r="103" ht="19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</row>
    <row r="104" ht="19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</row>
    <row r="105" ht="19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</row>
    <row r="106" ht="19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</row>
    <row r="107" ht="19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</row>
    <row r="108" ht="19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</row>
    <row r="109" ht="19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</row>
    <row r="110" ht="19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</row>
    <row r="111" ht="19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</row>
    <row r="112" ht="19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</row>
    <row r="113" ht="19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</row>
    <row r="114" ht="19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</row>
    <row r="115" ht="19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</row>
    <row r="116" ht="19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</row>
    <row r="117" ht="19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</row>
    <row r="118" ht="19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</row>
    <row r="119" ht="19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</row>
    <row r="120" ht="19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</row>
    <row r="121" ht="19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</row>
    <row r="122" ht="19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</row>
    <row r="123" ht="19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</row>
    <row r="124" ht="19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</row>
    <row r="125" ht="19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</row>
    <row r="126" ht="19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</row>
    <row r="127" ht="19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</row>
    <row r="128" ht="19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</row>
    <row r="129" ht="19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</row>
    <row r="130" ht="19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</row>
    <row r="131" ht="19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</row>
    <row r="132" ht="19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</row>
    <row r="133" ht="19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</row>
    <row r="134" ht="19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</row>
    <row r="135" ht="19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</row>
    <row r="136" ht="19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</row>
    <row r="137" ht="19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</row>
    <row r="138" ht="19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</row>
    <row r="139" ht="19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</row>
    <row r="140" ht="19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</row>
    <row r="141" ht="19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</row>
    <row r="142" ht="19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</row>
    <row r="143" ht="19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</row>
    <row r="144" ht="19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</row>
    <row r="145" ht="19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</row>
    <row r="146" ht="19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</row>
    <row r="147" ht="19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</row>
    <row r="148" ht="19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</row>
    <row r="149" ht="19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</row>
    <row r="150" ht="19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</row>
    <row r="151" ht="19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</row>
    <row r="152" ht="19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</row>
    <row r="153" ht="19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</row>
    <row r="154" ht="19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</row>
    <row r="155" ht="19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</row>
    <row r="156" ht="19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</row>
    <row r="157" ht="19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</row>
    <row r="158" ht="19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</row>
    <row r="159" ht="19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</row>
    <row r="160" ht="19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</row>
    <row r="161" ht="19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</row>
    <row r="162" ht="19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69"/>
      <c r="BN162" s="69"/>
      <c r="BO162" s="69"/>
    </row>
    <row r="163" ht="19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69"/>
      <c r="BN163" s="69"/>
      <c r="BO163" s="69"/>
    </row>
    <row r="164" ht="19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</row>
    <row r="165" ht="19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69"/>
      <c r="BN165" s="69"/>
      <c r="BO165" s="69"/>
    </row>
    <row r="166" ht="19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</row>
    <row r="167" ht="19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</row>
    <row r="168" ht="19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</row>
    <row r="169" ht="19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</row>
    <row r="170" ht="19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</row>
    <row r="171" ht="19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</row>
    <row r="172" ht="19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69"/>
      <c r="BN172" s="69"/>
      <c r="BO172" s="69"/>
    </row>
    <row r="173" ht="19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  <c r="BM173" s="69"/>
      <c r="BN173" s="69"/>
      <c r="BO173" s="69"/>
    </row>
    <row r="174" ht="19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  <c r="BM174" s="69"/>
      <c r="BN174" s="69"/>
      <c r="BO174" s="69"/>
    </row>
    <row r="175" ht="19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  <c r="BM175" s="69"/>
      <c r="BN175" s="69"/>
      <c r="BO175" s="69"/>
    </row>
    <row r="176" ht="19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69"/>
      <c r="BN176" s="69"/>
      <c r="BO176" s="69"/>
    </row>
    <row r="177" ht="19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69"/>
      <c r="BN177" s="69"/>
      <c r="BO177" s="69"/>
    </row>
    <row r="178" ht="19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</row>
    <row r="179" ht="19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</row>
    <row r="180" ht="19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69"/>
      <c r="BN180" s="69"/>
      <c r="BO180" s="69"/>
    </row>
    <row r="181" ht="19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</row>
    <row r="182" ht="19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</row>
    <row r="183" ht="19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</row>
    <row r="184" ht="19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</row>
    <row r="185" ht="19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</row>
    <row r="186" ht="19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69"/>
      <c r="BN186" s="69"/>
      <c r="BO186" s="69"/>
    </row>
    <row r="187" ht="19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</row>
    <row r="188" ht="19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</row>
    <row r="189" ht="19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</row>
    <row r="190" ht="19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</row>
    <row r="191" ht="19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69"/>
      <c r="BN191" s="69"/>
      <c r="BO191" s="69"/>
    </row>
    <row r="192" ht="19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69"/>
      <c r="BN192" s="69"/>
      <c r="BO192" s="69"/>
    </row>
    <row r="193" ht="19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</row>
    <row r="194" ht="19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69"/>
      <c r="BN194" s="69"/>
      <c r="BO194" s="69"/>
    </row>
    <row r="195" ht="19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  <c r="BM195" s="69"/>
      <c r="BN195" s="69"/>
      <c r="BO195" s="69"/>
    </row>
    <row r="196" ht="19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  <c r="BM196" s="69"/>
      <c r="BN196" s="69"/>
      <c r="BO196" s="69"/>
    </row>
    <row r="197" ht="19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  <c r="BM197" s="69"/>
      <c r="BN197" s="69"/>
      <c r="BO197" s="69"/>
    </row>
    <row r="198" ht="19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  <c r="BM198" s="69"/>
      <c r="BN198" s="69"/>
      <c r="BO198" s="69"/>
    </row>
    <row r="199" ht="19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</row>
    <row r="200" ht="19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</row>
    <row r="201" ht="19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</row>
    <row r="202" ht="19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</row>
    <row r="203" ht="19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</row>
    <row r="204" ht="19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</row>
    <row r="205" ht="19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</row>
    <row r="206" ht="19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</row>
    <row r="207" ht="19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</row>
    <row r="208" ht="19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</row>
    <row r="209" ht="19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</row>
    <row r="210" ht="19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</row>
    <row r="211" ht="19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</row>
    <row r="212" ht="19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</row>
    <row r="213" ht="19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</row>
    <row r="214" ht="19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</row>
    <row r="215" ht="19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</row>
    <row r="216" ht="19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</row>
    <row r="217" ht="19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</row>
    <row r="218" ht="19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</row>
    <row r="219" ht="19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</row>
    <row r="220" ht="19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</row>
    <row r="221" ht="19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</row>
    <row r="222" ht="19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</row>
    <row r="223" ht="19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</row>
    <row r="224" ht="19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</row>
    <row r="225" ht="19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</row>
    <row r="226" ht="19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</row>
    <row r="227" ht="19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</row>
    <row r="228" ht="19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</row>
    <row r="229" ht="19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</row>
    <row r="230" ht="19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</row>
    <row r="231" ht="19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</row>
    <row r="232" ht="19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</row>
    <row r="233" ht="19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</row>
    <row r="234" ht="19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</row>
    <row r="235" ht="19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  <c r="BN305" s="69"/>
      <c r="BO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  <c r="BN317" s="69"/>
      <c r="BO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  <c r="BM321" s="69"/>
      <c r="BN321" s="69"/>
      <c r="BO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  <c r="BM322" s="69"/>
      <c r="BN322" s="69"/>
      <c r="BO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69"/>
      <c r="BO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  <c r="BN328" s="69"/>
      <c r="BO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  <c r="BN329" s="69"/>
      <c r="BO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  <c r="BM330" s="69"/>
      <c r="BN330" s="69"/>
      <c r="BO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  <c r="BM331" s="69"/>
      <c r="BN331" s="69"/>
      <c r="BO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  <c r="BM332" s="69"/>
      <c r="BN332" s="69"/>
      <c r="BO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  <c r="BM333" s="69"/>
      <c r="BN333" s="69"/>
      <c r="BO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  <c r="BM334" s="69"/>
      <c r="BN334" s="69"/>
      <c r="BO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  <c r="BK335" s="69"/>
      <c r="BL335" s="69"/>
      <c r="BM335" s="69"/>
      <c r="BN335" s="69"/>
      <c r="BO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  <c r="BM336" s="69"/>
      <c r="BN336" s="69"/>
      <c r="BO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  <c r="BM337" s="69"/>
      <c r="BN337" s="69"/>
      <c r="BO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  <c r="BK338" s="69"/>
      <c r="BL338" s="69"/>
      <c r="BM338" s="69"/>
      <c r="BN338" s="69"/>
      <c r="BO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  <c r="BK339" s="69"/>
      <c r="BL339" s="69"/>
      <c r="BM339" s="69"/>
      <c r="BN339" s="69"/>
      <c r="BO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  <c r="BM340" s="69"/>
      <c r="BN340" s="69"/>
      <c r="BO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69"/>
      <c r="BG341" s="69"/>
      <c r="BH341" s="69"/>
      <c r="BI341" s="69"/>
      <c r="BJ341" s="69"/>
      <c r="BK341" s="69"/>
      <c r="BL341" s="69"/>
      <c r="BM341" s="69"/>
      <c r="BN341" s="69"/>
      <c r="BO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9"/>
      <c r="BI342" s="69"/>
      <c r="BJ342" s="69"/>
      <c r="BK342" s="69"/>
      <c r="BL342" s="69"/>
      <c r="BM342" s="69"/>
      <c r="BN342" s="69"/>
      <c r="BO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69"/>
      <c r="BG344" s="69"/>
      <c r="BH344" s="69"/>
      <c r="BI344" s="69"/>
      <c r="BJ344" s="69"/>
      <c r="BK344" s="69"/>
      <c r="BL344" s="69"/>
      <c r="BM344" s="69"/>
      <c r="BN344" s="69"/>
      <c r="BO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69"/>
      <c r="BG345" s="69"/>
      <c r="BH345" s="69"/>
      <c r="BI345" s="69"/>
      <c r="BJ345" s="69"/>
      <c r="BK345" s="69"/>
      <c r="BL345" s="69"/>
      <c r="BM345" s="69"/>
      <c r="BN345" s="69"/>
      <c r="BO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69"/>
      <c r="BG346" s="69"/>
      <c r="BH346" s="69"/>
      <c r="BI346" s="69"/>
      <c r="BJ346" s="69"/>
      <c r="BK346" s="69"/>
      <c r="BL346" s="69"/>
      <c r="BM346" s="69"/>
      <c r="BN346" s="69"/>
      <c r="BO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69"/>
      <c r="BG347" s="69"/>
      <c r="BH347" s="69"/>
      <c r="BI347" s="69"/>
      <c r="BJ347" s="69"/>
      <c r="BK347" s="69"/>
      <c r="BL347" s="69"/>
      <c r="BM347" s="69"/>
      <c r="BN347" s="69"/>
      <c r="BO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69"/>
      <c r="BK348" s="69"/>
      <c r="BL348" s="69"/>
      <c r="BM348" s="69"/>
      <c r="BN348" s="69"/>
      <c r="BO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69"/>
      <c r="BG349" s="69"/>
      <c r="BH349" s="69"/>
      <c r="BI349" s="69"/>
      <c r="BJ349" s="69"/>
      <c r="BK349" s="69"/>
      <c r="BL349" s="69"/>
      <c r="BM349" s="69"/>
      <c r="BN349" s="69"/>
      <c r="BO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69"/>
      <c r="BG352" s="69"/>
      <c r="BH352" s="69"/>
      <c r="BI352" s="69"/>
      <c r="BJ352" s="69"/>
      <c r="BK352" s="69"/>
      <c r="BL352" s="69"/>
      <c r="BM352" s="69"/>
      <c r="BN352" s="69"/>
      <c r="BO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9"/>
      <c r="BI353" s="69"/>
      <c r="BJ353" s="69"/>
      <c r="BK353" s="69"/>
      <c r="BL353" s="69"/>
      <c r="BM353" s="69"/>
      <c r="BN353" s="69"/>
      <c r="BO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  <c r="BM354" s="69"/>
      <c r="BN354" s="69"/>
      <c r="BO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9"/>
      <c r="BI355" s="69"/>
      <c r="BJ355" s="69"/>
      <c r="BK355" s="69"/>
      <c r="BL355" s="69"/>
      <c r="BM355" s="69"/>
      <c r="BN355" s="69"/>
      <c r="BO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69"/>
      <c r="BG356" s="69"/>
      <c r="BH356" s="69"/>
      <c r="BI356" s="69"/>
      <c r="BJ356" s="69"/>
      <c r="BK356" s="69"/>
      <c r="BL356" s="69"/>
      <c r="BM356" s="69"/>
      <c r="BN356" s="69"/>
      <c r="BO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69"/>
      <c r="BG357" s="69"/>
      <c r="BH357" s="69"/>
      <c r="BI357" s="69"/>
      <c r="BJ357" s="69"/>
      <c r="BK357" s="69"/>
      <c r="BL357" s="69"/>
      <c r="BM357" s="69"/>
      <c r="BN357" s="69"/>
      <c r="BO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69"/>
      <c r="BG358" s="69"/>
      <c r="BH358" s="69"/>
      <c r="BI358" s="69"/>
      <c r="BJ358" s="69"/>
      <c r="BK358" s="69"/>
      <c r="BL358" s="69"/>
      <c r="BM358" s="69"/>
      <c r="BN358" s="69"/>
      <c r="BO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69"/>
      <c r="BG359" s="69"/>
      <c r="BH359" s="69"/>
      <c r="BI359" s="69"/>
      <c r="BJ359" s="69"/>
      <c r="BK359" s="69"/>
      <c r="BL359" s="69"/>
      <c r="BM359" s="69"/>
      <c r="BN359" s="69"/>
      <c r="BO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  <c r="BM360" s="69"/>
      <c r="BN360" s="69"/>
      <c r="BO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  <c r="BM361" s="69"/>
      <c r="BN361" s="69"/>
      <c r="BO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69"/>
      <c r="BG362" s="69"/>
      <c r="BH362" s="69"/>
      <c r="BI362" s="69"/>
      <c r="BJ362" s="69"/>
      <c r="BK362" s="69"/>
      <c r="BL362" s="69"/>
      <c r="BM362" s="69"/>
      <c r="BN362" s="69"/>
      <c r="BO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9"/>
      <c r="BI363" s="69"/>
      <c r="BJ363" s="69"/>
      <c r="BK363" s="69"/>
      <c r="BL363" s="69"/>
      <c r="BM363" s="69"/>
      <c r="BN363" s="69"/>
      <c r="BO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69"/>
      <c r="BF364" s="69"/>
      <c r="BG364" s="69"/>
      <c r="BH364" s="69"/>
      <c r="BI364" s="69"/>
      <c r="BJ364" s="69"/>
      <c r="BK364" s="69"/>
      <c r="BL364" s="69"/>
      <c r="BM364" s="69"/>
      <c r="BN364" s="69"/>
      <c r="BO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69"/>
      <c r="BF365" s="69"/>
      <c r="BG365" s="69"/>
      <c r="BH365" s="69"/>
      <c r="BI365" s="69"/>
      <c r="BJ365" s="69"/>
      <c r="BK365" s="69"/>
      <c r="BL365" s="69"/>
      <c r="BM365" s="69"/>
      <c r="BN365" s="69"/>
      <c r="BO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69"/>
      <c r="BF366" s="69"/>
      <c r="BG366" s="69"/>
      <c r="BH366" s="69"/>
      <c r="BI366" s="69"/>
      <c r="BJ366" s="69"/>
      <c r="BK366" s="69"/>
      <c r="BL366" s="69"/>
      <c r="BM366" s="69"/>
      <c r="BN366" s="69"/>
      <c r="BO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69"/>
      <c r="BF367" s="69"/>
      <c r="BG367" s="69"/>
      <c r="BH367" s="69"/>
      <c r="BI367" s="69"/>
      <c r="BJ367" s="69"/>
      <c r="BK367" s="69"/>
      <c r="BL367" s="69"/>
      <c r="BM367" s="69"/>
      <c r="BN367" s="69"/>
      <c r="BO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  <c r="BM368" s="69"/>
      <c r="BN368" s="69"/>
      <c r="BO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69"/>
      <c r="BF369" s="69"/>
      <c r="BG369" s="69"/>
      <c r="BH369" s="69"/>
      <c r="BI369" s="69"/>
      <c r="BJ369" s="69"/>
      <c r="BK369" s="69"/>
      <c r="BL369" s="69"/>
      <c r="BM369" s="69"/>
      <c r="BN369" s="69"/>
      <c r="BO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69"/>
      <c r="BF370" s="69"/>
      <c r="BG370" s="69"/>
      <c r="BH370" s="69"/>
      <c r="BI370" s="69"/>
      <c r="BJ370" s="69"/>
      <c r="BK370" s="69"/>
      <c r="BL370" s="69"/>
      <c r="BM370" s="69"/>
      <c r="BN370" s="69"/>
      <c r="BO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  <c r="BM371" s="69"/>
      <c r="BN371" s="69"/>
      <c r="BO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/>
      <c r="BJ372" s="69"/>
      <c r="BK372" s="69"/>
      <c r="BL372" s="69"/>
      <c r="BM372" s="69"/>
      <c r="BN372" s="69"/>
      <c r="BO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  <c r="BC373" s="69"/>
      <c r="BD373" s="69"/>
      <c r="BE373" s="69"/>
      <c r="BF373" s="69"/>
      <c r="BG373" s="69"/>
      <c r="BH373" s="69"/>
      <c r="BI373" s="69"/>
      <c r="BJ373" s="69"/>
      <c r="BK373" s="69"/>
      <c r="BL373" s="69"/>
      <c r="BM373" s="69"/>
      <c r="BN373" s="69"/>
      <c r="BO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  <c r="BC374" s="69"/>
      <c r="BD374" s="69"/>
      <c r="BE374" s="69"/>
      <c r="BF374" s="69"/>
      <c r="BG374" s="69"/>
      <c r="BH374" s="69"/>
      <c r="BI374" s="69"/>
      <c r="BJ374" s="69"/>
      <c r="BK374" s="69"/>
      <c r="BL374" s="69"/>
      <c r="BM374" s="69"/>
      <c r="BN374" s="69"/>
      <c r="BO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/>
      <c r="BI375" s="69"/>
      <c r="BJ375" s="69"/>
      <c r="BK375" s="69"/>
      <c r="BL375" s="69"/>
      <c r="BM375" s="69"/>
      <c r="BN375" s="69"/>
      <c r="BO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  <c r="BC376" s="69"/>
      <c r="BD376" s="69"/>
      <c r="BE376" s="69"/>
      <c r="BF376" s="69"/>
      <c r="BG376" s="69"/>
      <c r="BH376" s="69"/>
      <c r="BI376" s="69"/>
      <c r="BJ376" s="69"/>
      <c r="BK376" s="69"/>
      <c r="BL376" s="69"/>
      <c r="BM376" s="69"/>
      <c r="BN376" s="69"/>
      <c r="BO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  <c r="BM377" s="69"/>
      <c r="BN377" s="69"/>
      <c r="BO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  <c r="BC378" s="69"/>
      <c r="BD378" s="69"/>
      <c r="BE378" s="69"/>
      <c r="BF378" s="69"/>
      <c r="BG378" s="69"/>
      <c r="BH378" s="69"/>
      <c r="BI378" s="69"/>
      <c r="BJ378" s="69"/>
      <c r="BK378" s="69"/>
      <c r="BL378" s="69"/>
      <c r="BM378" s="69"/>
      <c r="BN378" s="69"/>
      <c r="BO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69"/>
      <c r="BH379" s="69"/>
      <c r="BI379" s="69"/>
      <c r="BJ379" s="69"/>
      <c r="BK379" s="69"/>
      <c r="BL379" s="69"/>
      <c r="BM379" s="69"/>
      <c r="BN379" s="69"/>
      <c r="BO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  <c r="BM380" s="69"/>
      <c r="BN380" s="69"/>
      <c r="BO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69"/>
      <c r="BH381" s="69"/>
      <c r="BI381" s="69"/>
      <c r="BJ381" s="69"/>
      <c r="BK381" s="69"/>
      <c r="BL381" s="69"/>
      <c r="BM381" s="69"/>
      <c r="BN381" s="69"/>
      <c r="BO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69"/>
      <c r="BH382" s="69"/>
      <c r="BI382" s="69"/>
      <c r="BJ382" s="69"/>
      <c r="BK382" s="69"/>
      <c r="BL382" s="69"/>
      <c r="BM382" s="69"/>
      <c r="BN382" s="69"/>
      <c r="BO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69"/>
      <c r="BK383" s="69"/>
      <c r="BL383" s="69"/>
      <c r="BM383" s="69"/>
      <c r="BN383" s="69"/>
      <c r="BO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  <c r="AY384" s="69"/>
      <c r="AZ384" s="69"/>
      <c r="BA384" s="69"/>
      <c r="BB384" s="69"/>
      <c r="BC384" s="69"/>
      <c r="BD384" s="69"/>
      <c r="BE384" s="69"/>
      <c r="BF384" s="69"/>
      <c r="BG384" s="69"/>
      <c r="BH384" s="69"/>
      <c r="BI384" s="69"/>
      <c r="BJ384" s="69"/>
      <c r="BK384" s="69"/>
      <c r="BL384" s="69"/>
      <c r="BM384" s="69"/>
      <c r="BN384" s="69"/>
      <c r="BO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  <c r="AY385" s="69"/>
      <c r="AZ385" s="69"/>
      <c r="BA385" s="69"/>
      <c r="BB385" s="69"/>
      <c r="BC385" s="69"/>
      <c r="BD385" s="69"/>
      <c r="BE385" s="69"/>
      <c r="BF385" s="69"/>
      <c r="BG385" s="69"/>
      <c r="BH385" s="69"/>
      <c r="BI385" s="69"/>
      <c r="BJ385" s="69"/>
      <c r="BK385" s="69"/>
      <c r="BL385" s="69"/>
      <c r="BM385" s="69"/>
      <c r="BN385" s="69"/>
      <c r="BO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  <c r="AY386" s="69"/>
      <c r="AZ386" s="69"/>
      <c r="BA386" s="69"/>
      <c r="BB386" s="69"/>
      <c r="BC386" s="69"/>
      <c r="BD386" s="69"/>
      <c r="BE386" s="69"/>
      <c r="BF386" s="69"/>
      <c r="BG386" s="69"/>
      <c r="BH386" s="69"/>
      <c r="BI386" s="69"/>
      <c r="BJ386" s="69"/>
      <c r="BK386" s="69"/>
      <c r="BL386" s="69"/>
      <c r="BM386" s="69"/>
      <c r="BN386" s="69"/>
      <c r="BO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  <c r="AY387" s="69"/>
      <c r="AZ387" s="69"/>
      <c r="BA387" s="69"/>
      <c r="BB387" s="69"/>
      <c r="BC387" s="69"/>
      <c r="BD387" s="69"/>
      <c r="BE387" s="69"/>
      <c r="BF387" s="69"/>
      <c r="BG387" s="69"/>
      <c r="BH387" s="69"/>
      <c r="BI387" s="69"/>
      <c r="BJ387" s="69"/>
      <c r="BK387" s="69"/>
      <c r="BL387" s="69"/>
      <c r="BM387" s="69"/>
      <c r="BN387" s="69"/>
      <c r="BO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  <c r="AY388" s="69"/>
      <c r="AZ388" s="69"/>
      <c r="BA388" s="69"/>
      <c r="BB388" s="69"/>
      <c r="BC388" s="69"/>
      <c r="BD388" s="69"/>
      <c r="BE388" s="69"/>
      <c r="BF388" s="69"/>
      <c r="BG388" s="69"/>
      <c r="BH388" s="69"/>
      <c r="BI388" s="69"/>
      <c r="BJ388" s="69"/>
      <c r="BK388" s="69"/>
      <c r="BL388" s="69"/>
      <c r="BM388" s="69"/>
      <c r="BN388" s="69"/>
      <c r="BO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  <c r="AY389" s="69"/>
      <c r="AZ389" s="69"/>
      <c r="BA389" s="69"/>
      <c r="BB389" s="69"/>
      <c r="BC389" s="69"/>
      <c r="BD389" s="69"/>
      <c r="BE389" s="69"/>
      <c r="BF389" s="69"/>
      <c r="BG389" s="69"/>
      <c r="BH389" s="69"/>
      <c r="BI389" s="69"/>
      <c r="BJ389" s="69"/>
      <c r="BK389" s="69"/>
      <c r="BL389" s="69"/>
      <c r="BM389" s="69"/>
      <c r="BN389" s="69"/>
      <c r="BO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  <c r="AY390" s="69"/>
      <c r="AZ390" s="69"/>
      <c r="BA390" s="69"/>
      <c r="BB390" s="69"/>
      <c r="BC390" s="69"/>
      <c r="BD390" s="69"/>
      <c r="BE390" s="69"/>
      <c r="BF390" s="69"/>
      <c r="BG390" s="69"/>
      <c r="BH390" s="69"/>
      <c r="BI390" s="69"/>
      <c r="BJ390" s="69"/>
      <c r="BK390" s="69"/>
      <c r="BL390" s="69"/>
      <c r="BM390" s="69"/>
      <c r="BN390" s="69"/>
      <c r="BO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  <c r="AY391" s="69"/>
      <c r="AZ391" s="69"/>
      <c r="BA391" s="69"/>
      <c r="BB391" s="69"/>
      <c r="BC391" s="69"/>
      <c r="BD391" s="69"/>
      <c r="BE391" s="69"/>
      <c r="BF391" s="69"/>
      <c r="BG391" s="69"/>
      <c r="BH391" s="69"/>
      <c r="BI391" s="69"/>
      <c r="BJ391" s="69"/>
      <c r="BK391" s="69"/>
      <c r="BL391" s="69"/>
      <c r="BM391" s="69"/>
      <c r="BN391" s="69"/>
      <c r="BO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  <c r="AY392" s="69"/>
      <c r="AZ392" s="69"/>
      <c r="BA392" s="69"/>
      <c r="BB392" s="69"/>
      <c r="BC392" s="69"/>
      <c r="BD392" s="69"/>
      <c r="BE392" s="69"/>
      <c r="BF392" s="69"/>
      <c r="BG392" s="69"/>
      <c r="BH392" s="69"/>
      <c r="BI392" s="69"/>
      <c r="BJ392" s="69"/>
      <c r="BK392" s="69"/>
      <c r="BL392" s="69"/>
      <c r="BM392" s="69"/>
      <c r="BN392" s="69"/>
      <c r="BO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  <c r="AY393" s="69"/>
      <c r="AZ393" s="69"/>
      <c r="BA393" s="69"/>
      <c r="BB393" s="69"/>
      <c r="BC393" s="69"/>
      <c r="BD393" s="69"/>
      <c r="BE393" s="69"/>
      <c r="BF393" s="69"/>
      <c r="BG393" s="69"/>
      <c r="BH393" s="69"/>
      <c r="BI393" s="69"/>
      <c r="BJ393" s="69"/>
      <c r="BK393" s="69"/>
      <c r="BL393" s="69"/>
      <c r="BM393" s="69"/>
      <c r="BN393" s="69"/>
      <c r="BO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  <c r="AY394" s="69"/>
      <c r="AZ394" s="69"/>
      <c r="BA394" s="69"/>
      <c r="BB394" s="69"/>
      <c r="BC394" s="69"/>
      <c r="BD394" s="69"/>
      <c r="BE394" s="69"/>
      <c r="BF394" s="69"/>
      <c r="BG394" s="69"/>
      <c r="BH394" s="69"/>
      <c r="BI394" s="69"/>
      <c r="BJ394" s="69"/>
      <c r="BK394" s="69"/>
      <c r="BL394" s="69"/>
      <c r="BM394" s="69"/>
      <c r="BN394" s="69"/>
      <c r="BO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  <c r="AY395" s="69"/>
      <c r="AZ395" s="69"/>
      <c r="BA395" s="69"/>
      <c r="BB395" s="69"/>
      <c r="BC395" s="69"/>
      <c r="BD395" s="69"/>
      <c r="BE395" s="69"/>
      <c r="BF395" s="69"/>
      <c r="BG395" s="69"/>
      <c r="BH395" s="69"/>
      <c r="BI395" s="69"/>
      <c r="BJ395" s="69"/>
      <c r="BK395" s="69"/>
      <c r="BL395" s="69"/>
      <c r="BM395" s="69"/>
      <c r="BN395" s="69"/>
      <c r="BO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  <c r="AY396" s="69"/>
      <c r="AZ396" s="69"/>
      <c r="BA396" s="69"/>
      <c r="BB396" s="69"/>
      <c r="BC396" s="69"/>
      <c r="BD396" s="69"/>
      <c r="BE396" s="69"/>
      <c r="BF396" s="69"/>
      <c r="BG396" s="69"/>
      <c r="BH396" s="69"/>
      <c r="BI396" s="69"/>
      <c r="BJ396" s="69"/>
      <c r="BK396" s="69"/>
      <c r="BL396" s="69"/>
      <c r="BM396" s="69"/>
      <c r="BN396" s="69"/>
      <c r="BO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  <c r="AY397" s="69"/>
      <c r="AZ397" s="69"/>
      <c r="BA397" s="69"/>
      <c r="BB397" s="69"/>
      <c r="BC397" s="69"/>
      <c r="BD397" s="69"/>
      <c r="BE397" s="69"/>
      <c r="BF397" s="69"/>
      <c r="BG397" s="69"/>
      <c r="BH397" s="69"/>
      <c r="BI397" s="69"/>
      <c r="BJ397" s="69"/>
      <c r="BK397" s="69"/>
      <c r="BL397" s="69"/>
      <c r="BM397" s="69"/>
      <c r="BN397" s="69"/>
      <c r="BO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  <c r="AY398" s="69"/>
      <c r="AZ398" s="69"/>
      <c r="BA398" s="69"/>
      <c r="BB398" s="69"/>
      <c r="BC398" s="69"/>
      <c r="BD398" s="69"/>
      <c r="BE398" s="69"/>
      <c r="BF398" s="69"/>
      <c r="BG398" s="69"/>
      <c r="BH398" s="69"/>
      <c r="BI398" s="69"/>
      <c r="BJ398" s="69"/>
      <c r="BK398" s="69"/>
      <c r="BL398" s="69"/>
      <c r="BM398" s="69"/>
      <c r="BN398" s="69"/>
      <c r="BO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  <c r="AY399" s="69"/>
      <c r="AZ399" s="69"/>
      <c r="BA399" s="69"/>
      <c r="BB399" s="69"/>
      <c r="BC399" s="69"/>
      <c r="BD399" s="69"/>
      <c r="BE399" s="69"/>
      <c r="BF399" s="69"/>
      <c r="BG399" s="69"/>
      <c r="BH399" s="69"/>
      <c r="BI399" s="69"/>
      <c r="BJ399" s="69"/>
      <c r="BK399" s="69"/>
      <c r="BL399" s="69"/>
      <c r="BM399" s="69"/>
      <c r="BN399" s="69"/>
      <c r="BO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  <c r="AY400" s="69"/>
      <c r="AZ400" s="69"/>
      <c r="BA400" s="69"/>
      <c r="BB400" s="69"/>
      <c r="BC400" s="69"/>
      <c r="BD400" s="69"/>
      <c r="BE400" s="69"/>
      <c r="BF400" s="69"/>
      <c r="BG400" s="69"/>
      <c r="BH400" s="69"/>
      <c r="BI400" s="69"/>
      <c r="BJ400" s="69"/>
      <c r="BK400" s="69"/>
      <c r="BL400" s="69"/>
      <c r="BM400" s="69"/>
      <c r="BN400" s="69"/>
      <c r="BO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  <c r="AY401" s="69"/>
      <c r="AZ401" s="69"/>
      <c r="BA401" s="69"/>
      <c r="BB401" s="69"/>
      <c r="BC401" s="69"/>
      <c r="BD401" s="69"/>
      <c r="BE401" s="69"/>
      <c r="BF401" s="69"/>
      <c r="BG401" s="69"/>
      <c r="BH401" s="69"/>
      <c r="BI401" s="69"/>
      <c r="BJ401" s="69"/>
      <c r="BK401" s="69"/>
      <c r="BL401" s="69"/>
      <c r="BM401" s="69"/>
      <c r="BN401" s="69"/>
      <c r="BO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  <c r="AY402" s="69"/>
      <c r="AZ402" s="69"/>
      <c r="BA402" s="69"/>
      <c r="BB402" s="69"/>
      <c r="BC402" s="69"/>
      <c r="BD402" s="69"/>
      <c r="BE402" s="69"/>
      <c r="BF402" s="69"/>
      <c r="BG402" s="69"/>
      <c r="BH402" s="69"/>
      <c r="BI402" s="69"/>
      <c r="BJ402" s="69"/>
      <c r="BK402" s="69"/>
      <c r="BL402" s="69"/>
      <c r="BM402" s="69"/>
      <c r="BN402" s="69"/>
      <c r="BO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69"/>
      <c r="BH403" s="69"/>
      <c r="BI403" s="69"/>
      <c r="BJ403" s="69"/>
      <c r="BK403" s="69"/>
      <c r="BL403" s="69"/>
      <c r="BM403" s="69"/>
      <c r="BN403" s="69"/>
      <c r="BO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  <c r="AY404" s="69"/>
      <c r="AZ404" s="69"/>
      <c r="BA404" s="69"/>
      <c r="BB404" s="69"/>
      <c r="BC404" s="69"/>
      <c r="BD404" s="69"/>
      <c r="BE404" s="69"/>
      <c r="BF404" s="69"/>
      <c r="BG404" s="69"/>
      <c r="BH404" s="69"/>
      <c r="BI404" s="69"/>
      <c r="BJ404" s="69"/>
      <c r="BK404" s="69"/>
      <c r="BL404" s="69"/>
      <c r="BM404" s="69"/>
      <c r="BN404" s="69"/>
      <c r="BO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  <c r="AY405" s="69"/>
      <c r="AZ405" s="69"/>
      <c r="BA405" s="69"/>
      <c r="BB405" s="69"/>
      <c r="BC405" s="69"/>
      <c r="BD405" s="69"/>
      <c r="BE405" s="69"/>
      <c r="BF405" s="69"/>
      <c r="BG405" s="69"/>
      <c r="BH405" s="69"/>
      <c r="BI405" s="69"/>
      <c r="BJ405" s="69"/>
      <c r="BK405" s="69"/>
      <c r="BL405" s="69"/>
      <c r="BM405" s="69"/>
      <c r="BN405" s="69"/>
      <c r="BO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  <c r="AY406" s="69"/>
      <c r="AZ406" s="69"/>
      <c r="BA406" s="69"/>
      <c r="BB406" s="69"/>
      <c r="BC406" s="69"/>
      <c r="BD406" s="69"/>
      <c r="BE406" s="69"/>
      <c r="BF406" s="69"/>
      <c r="BG406" s="69"/>
      <c r="BH406" s="69"/>
      <c r="BI406" s="69"/>
      <c r="BJ406" s="69"/>
      <c r="BK406" s="69"/>
      <c r="BL406" s="69"/>
      <c r="BM406" s="69"/>
      <c r="BN406" s="69"/>
      <c r="BO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  <c r="AY407" s="69"/>
      <c r="AZ407" s="69"/>
      <c r="BA407" s="69"/>
      <c r="BB407" s="69"/>
      <c r="BC407" s="69"/>
      <c r="BD407" s="69"/>
      <c r="BE407" s="69"/>
      <c r="BF407" s="69"/>
      <c r="BG407" s="69"/>
      <c r="BH407" s="69"/>
      <c r="BI407" s="69"/>
      <c r="BJ407" s="69"/>
      <c r="BK407" s="69"/>
      <c r="BL407" s="69"/>
      <c r="BM407" s="69"/>
      <c r="BN407" s="69"/>
      <c r="BO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  <c r="AY408" s="69"/>
      <c r="AZ408" s="69"/>
      <c r="BA408" s="69"/>
      <c r="BB408" s="69"/>
      <c r="BC408" s="69"/>
      <c r="BD408" s="69"/>
      <c r="BE408" s="69"/>
      <c r="BF408" s="69"/>
      <c r="BG408" s="69"/>
      <c r="BH408" s="69"/>
      <c r="BI408" s="69"/>
      <c r="BJ408" s="69"/>
      <c r="BK408" s="69"/>
      <c r="BL408" s="69"/>
      <c r="BM408" s="69"/>
      <c r="BN408" s="69"/>
      <c r="BO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69"/>
      <c r="BC409" s="69"/>
      <c r="BD409" s="69"/>
      <c r="BE409" s="69"/>
      <c r="BF409" s="69"/>
      <c r="BG409" s="69"/>
      <c r="BH409" s="69"/>
      <c r="BI409" s="69"/>
      <c r="BJ409" s="69"/>
      <c r="BK409" s="69"/>
      <c r="BL409" s="69"/>
      <c r="BM409" s="69"/>
      <c r="BN409" s="69"/>
      <c r="BO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  <c r="AY410" s="69"/>
      <c r="AZ410" s="69"/>
      <c r="BA410" s="69"/>
      <c r="BB410" s="69"/>
      <c r="BC410" s="69"/>
      <c r="BD410" s="69"/>
      <c r="BE410" s="69"/>
      <c r="BF410" s="69"/>
      <c r="BG410" s="69"/>
      <c r="BH410" s="69"/>
      <c r="BI410" s="69"/>
      <c r="BJ410" s="69"/>
      <c r="BK410" s="69"/>
      <c r="BL410" s="69"/>
      <c r="BM410" s="69"/>
      <c r="BN410" s="69"/>
      <c r="BO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  <c r="AY411" s="69"/>
      <c r="AZ411" s="69"/>
      <c r="BA411" s="69"/>
      <c r="BB411" s="69"/>
      <c r="BC411" s="69"/>
      <c r="BD411" s="69"/>
      <c r="BE411" s="69"/>
      <c r="BF411" s="69"/>
      <c r="BG411" s="69"/>
      <c r="BH411" s="69"/>
      <c r="BI411" s="69"/>
      <c r="BJ411" s="69"/>
      <c r="BK411" s="69"/>
      <c r="BL411" s="69"/>
      <c r="BM411" s="69"/>
      <c r="BN411" s="69"/>
      <c r="BO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  <c r="AY412" s="69"/>
      <c r="AZ412" s="69"/>
      <c r="BA412" s="69"/>
      <c r="BB412" s="69"/>
      <c r="BC412" s="69"/>
      <c r="BD412" s="69"/>
      <c r="BE412" s="69"/>
      <c r="BF412" s="69"/>
      <c r="BG412" s="69"/>
      <c r="BH412" s="69"/>
      <c r="BI412" s="69"/>
      <c r="BJ412" s="69"/>
      <c r="BK412" s="69"/>
      <c r="BL412" s="69"/>
      <c r="BM412" s="69"/>
      <c r="BN412" s="69"/>
      <c r="BO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  <c r="BC413" s="69"/>
      <c r="BD413" s="69"/>
      <c r="BE413" s="69"/>
      <c r="BF413" s="69"/>
      <c r="BG413" s="69"/>
      <c r="BH413" s="69"/>
      <c r="BI413" s="69"/>
      <c r="BJ413" s="69"/>
      <c r="BK413" s="69"/>
      <c r="BL413" s="69"/>
      <c r="BM413" s="69"/>
      <c r="BN413" s="69"/>
      <c r="BO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69"/>
      <c r="BC414" s="69"/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  <c r="BC415" s="69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  <c r="AY416" s="69"/>
      <c r="AZ416" s="69"/>
      <c r="BA416" s="69"/>
      <c r="BB416" s="69"/>
      <c r="BC416" s="69"/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  <c r="BC417" s="69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  <c r="AY418" s="69"/>
      <c r="AZ418" s="69"/>
      <c r="BA418" s="69"/>
      <c r="BB418" s="69"/>
      <c r="BC418" s="69"/>
      <c r="BD418" s="69"/>
      <c r="BE418" s="69"/>
      <c r="BF418" s="69"/>
      <c r="BG418" s="69"/>
      <c r="BH418" s="69"/>
      <c r="BI418" s="69"/>
      <c r="BJ418" s="69"/>
      <c r="BK418" s="69"/>
      <c r="BL418" s="69"/>
      <c r="BM418" s="69"/>
      <c r="BN418" s="69"/>
      <c r="BO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  <c r="AY419" s="69"/>
      <c r="AZ419" s="69"/>
      <c r="BA419" s="69"/>
      <c r="BB419" s="69"/>
      <c r="BC419" s="69"/>
      <c r="BD419" s="69"/>
      <c r="BE419" s="69"/>
      <c r="BF419" s="69"/>
      <c r="BG419" s="69"/>
      <c r="BH419" s="69"/>
      <c r="BI419" s="69"/>
      <c r="BJ419" s="69"/>
      <c r="BK419" s="69"/>
      <c r="BL419" s="69"/>
      <c r="BM419" s="69"/>
      <c r="BN419" s="69"/>
      <c r="BO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  <c r="AY420" s="69"/>
      <c r="AZ420" s="69"/>
      <c r="BA420" s="69"/>
      <c r="BB420" s="69"/>
      <c r="BC420" s="69"/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  <c r="AY421" s="69"/>
      <c r="AZ421" s="69"/>
      <c r="BA421" s="69"/>
      <c r="BB421" s="69"/>
      <c r="BC421" s="69"/>
      <c r="BD421" s="69"/>
      <c r="BE421" s="69"/>
      <c r="BF421" s="69"/>
      <c r="BG421" s="69"/>
      <c r="BH421" s="69"/>
      <c r="BI421" s="69"/>
      <c r="BJ421" s="69"/>
      <c r="BK421" s="69"/>
      <c r="BL421" s="69"/>
      <c r="BM421" s="69"/>
      <c r="BN421" s="69"/>
      <c r="BO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  <c r="AY422" s="69"/>
      <c r="AZ422" s="69"/>
      <c r="BA422" s="69"/>
      <c r="BB422" s="69"/>
      <c r="BC422" s="69"/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  <c r="AY423" s="69"/>
      <c r="AZ423" s="69"/>
      <c r="BA423" s="69"/>
      <c r="BB423" s="69"/>
      <c r="BC423" s="69"/>
      <c r="BD423" s="69"/>
      <c r="BE423" s="69"/>
      <c r="BF423" s="69"/>
      <c r="BG423" s="69"/>
      <c r="BH423" s="69"/>
      <c r="BI423" s="69"/>
      <c r="BJ423" s="69"/>
      <c r="BK423" s="69"/>
      <c r="BL423" s="69"/>
      <c r="BM423" s="69"/>
      <c r="BN423" s="69"/>
      <c r="BO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  <c r="AY424" s="69"/>
      <c r="AZ424" s="69"/>
      <c r="BA424" s="69"/>
      <c r="BB424" s="69"/>
      <c r="BC424" s="69"/>
      <c r="BD424" s="69"/>
      <c r="BE424" s="69"/>
      <c r="BF424" s="69"/>
      <c r="BG424" s="69"/>
      <c r="BH424" s="69"/>
      <c r="BI424" s="69"/>
      <c r="BJ424" s="69"/>
      <c r="BK424" s="69"/>
      <c r="BL424" s="69"/>
      <c r="BM424" s="69"/>
      <c r="BN424" s="69"/>
      <c r="BO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  <c r="AY425" s="69"/>
      <c r="AZ425" s="69"/>
      <c r="BA425" s="69"/>
      <c r="BB425" s="69"/>
      <c r="BC425" s="69"/>
      <c r="BD425" s="69"/>
      <c r="BE425" s="69"/>
      <c r="BF425" s="69"/>
      <c r="BG425" s="69"/>
      <c r="BH425" s="69"/>
      <c r="BI425" s="69"/>
      <c r="BJ425" s="69"/>
      <c r="BK425" s="69"/>
      <c r="BL425" s="69"/>
      <c r="BM425" s="69"/>
      <c r="BN425" s="69"/>
      <c r="BO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  <c r="AY426" s="69"/>
      <c r="AZ426" s="69"/>
      <c r="BA426" s="69"/>
      <c r="BB426" s="69"/>
      <c r="BC426" s="69"/>
      <c r="BD426" s="69"/>
      <c r="BE426" s="69"/>
      <c r="BF426" s="69"/>
      <c r="BG426" s="69"/>
      <c r="BH426" s="69"/>
      <c r="BI426" s="69"/>
      <c r="BJ426" s="69"/>
      <c r="BK426" s="69"/>
      <c r="BL426" s="69"/>
      <c r="BM426" s="69"/>
      <c r="BN426" s="69"/>
      <c r="BO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  <c r="AY427" s="69"/>
      <c r="AZ427" s="69"/>
      <c r="BA427" s="69"/>
      <c r="BB427" s="69"/>
      <c r="BC427" s="69"/>
      <c r="BD427" s="69"/>
      <c r="BE427" s="69"/>
      <c r="BF427" s="69"/>
      <c r="BG427" s="69"/>
      <c r="BH427" s="69"/>
      <c r="BI427" s="69"/>
      <c r="BJ427" s="69"/>
      <c r="BK427" s="69"/>
      <c r="BL427" s="69"/>
      <c r="BM427" s="69"/>
      <c r="BN427" s="69"/>
      <c r="BO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  <c r="AY428" s="69"/>
      <c r="AZ428" s="69"/>
      <c r="BA428" s="69"/>
      <c r="BB428" s="69"/>
      <c r="BC428" s="69"/>
      <c r="BD428" s="69"/>
      <c r="BE428" s="69"/>
      <c r="BF428" s="69"/>
      <c r="BG428" s="69"/>
      <c r="BH428" s="69"/>
      <c r="BI428" s="69"/>
      <c r="BJ428" s="69"/>
      <c r="BK428" s="69"/>
      <c r="BL428" s="69"/>
      <c r="BM428" s="69"/>
      <c r="BN428" s="69"/>
      <c r="BO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  <c r="AY429" s="69"/>
      <c r="AZ429" s="69"/>
      <c r="BA429" s="69"/>
      <c r="BB429" s="69"/>
      <c r="BC429" s="69"/>
      <c r="BD429" s="69"/>
      <c r="BE429" s="69"/>
      <c r="BF429" s="69"/>
      <c r="BG429" s="69"/>
      <c r="BH429" s="69"/>
      <c r="BI429" s="69"/>
      <c r="BJ429" s="69"/>
      <c r="BK429" s="69"/>
      <c r="BL429" s="69"/>
      <c r="BM429" s="69"/>
      <c r="BN429" s="69"/>
      <c r="BO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  <c r="AY430" s="69"/>
      <c r="AZ430" s="69"/>
      <c r="BA430" s="69"/>
      <c r="BB430" s="69"/>
      <c r="BC430" s="69"/>
      <c r="BD430" s="69"/>
      <c r="BE430" s="69"/>
      <c r="BF430" s="69"/>
      <c r="BG430" s="69"/>
      <c r="BH430" s="69"/>
      <c r="BI430" s="69"/>
      <c r="BJ430" s="69"/>
      <c r="BK430" s="69"/>
      <c r="BL430" s="69"/>
      <c r="BM430" s="69"/>
      <c r="BN430" s="69"/>
      <c r="BO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  <c r="AY431" s="69"/>
      <c r="AZ431" s="69"/>
      <c r="BA431" s="69"/>
      <c r="BB431" s="69"/>
      <c r="BC431" s="69"/>
      <c r="BD431" s="69"/>
      <c r="BE431" s="69"/>
      <c r="BF431" s="69"/>
      <c r="BG431" s="69"/>
      <c r="BH431" s="69"/>
      <c r="BI431" s="69"/>
      <c r="BJ431" s="69"/>
      <c r="BK431" s="69"/>
      <c r="BL431" s="69"/>
      <c r="BM431" s="69"/>
      <c r="BN431" s="69"/>
      <c r="BO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  <c r="AY432" s="69"/>
      <c r="AZ432" s="69"/>
      <c r="BA432" s="69"/>
      <c r="BB432" s="69"/>
      <c r="BC432" s="69"/>
      <c r="BD432" s="69"/>
      <c r="BE432" s="69"/>
      <c r="BF432" s="69"/>
      <c r="BG432" s="69"/>
      <c r="BH432" s="69"/>
      <c r="BI432" s="69"/>
      <c r="BJ432" s="69"/>
      <c r="BK432" s="69"/>
      <c r="BL432" s="69"/>
      <c r="BM432" s="69"/>
      <c r="BN432" s="69"/>
      <c r="BO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  <c r="AY433" s="69"/>
      <c r="AZ433" s="69"/>
      <c r="BA433" s="69"/>
      <c r="BB433" s="69"/>
      <c r="BC433" s="69"/>
      <c r="BD433" s="69"/>
      <c r="BE433" s="69"/>
      <c r="BF433" s="69"/>
      <c r="BG433" s="69"/>
      <c r="BH433" s="69"/>
      <c r="BI433" s="69"/>
      <c r="BJ433" s="69"/>
      <c r="BK433" s="69"/>
      <c r="BL433" s="69"/>
      <c r="BM433" s="69"/>
      <c r="BN433" s="69"/>
      <c r="BO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  <c r="AY434" s="69"/>
      <c r="AZ434" s="69"/>
      <c r="BA434" s="69"/>
      <c r="BB434" s="69"/>
      <c r="BC434" s="69"/>
      <c r="BD434" s="69"/>
      <c r="BE434" s="69"/>
      <c r="BF434" s="69"/>
      <c r="BG434" s="69"/>
      <c r="BH434" s="69"/>
      <c r="BI434" s="69"/>
      <c r="BJ434" s="69"/>
      <c r="BK434" s="69"/>
      <c r="BL434" s="69"/>
      <c r="BM434" s="69"/>
      <c r="BN434" s="69"/>
      <c r="BO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  <c r="AY435" s="69"/>
      <c r="AZ435" s="69"/>
      <c r="BA435" s="69"/>
      <c r="BB435" s="69"/>
      <c r="BC435" s="69"/>
      <c r="BD435" s="69"/>
      <c r="BE435" s="69"/>
      <c r="BF435" s="69"/>
      <c r="BG435" s="69"/>
      <c r="BH435" s="69"/>
      <c r="BI435" s="69"/>
      <c r="BJ435" s="69"/>
      <c r="BK435" s="69"/>
      <c r="BL435" s="69"/>
      <c r="BM435" s="69"/>
      <c r="BN435" s="69"/>
      <c r="BO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  <c r="AY436" s="69"/>
      <c r="AZ436" s="69"/>
      <c r="BA436" s="69"/>
      <c r="BB436" s="69"/>
      <c r="BC436" s="69"/>
      <c r="BD436" s="69"/>
      <c r="BE436" s="69"/>
      <c r="BF436" s="69"/>
      <c r="BG436" s="69"/>
      <c r="BH436" s="69"/>
      <c r="BI436" s="69"/>
      <c r="BJ436" s="69"/>
      <c r="BK436" s="69"/>
      <c r="BL436" s="69"/>
      <c r="BM436" s="69"/>
      <c r="BN436" s="69"/>
      <c r="BO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  <c r="AY437" s="69"/>
      <c r="AZ437" s="69"/>
      <c r="BA437" s="69"/>
      <c r="BB437" s="69"/>
      <c r="BC437" s="69"/>
      <c r="BD437" s="69"/>
      <c r="BE437" s="69"/>
      <c r="BF437" s="69"/>
      <c r="BG437" s="69"/>
      <c r="BH437" s="69"/>
      <c r="BI437" s="69"/>
      <c r="BJ437" s="69"/>
      <c r="BK437" s="69"/>
      <c r="BL437" s="69"/>
      <c r="BM437" s="69"/>
      <c r="BN437" s="69"/>
      <c r="BO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  <c r="AY438" s="69"/>
      <c r="AZ438" s="69"/>
      <c r="BA438" s="69"/>
      <c r="BB438" s="69"/>
      <c r="BC438" s="69"/>
      <c r="BD438" s="69"/>
      <c r="BE438" s="69"/>
      <c r="BF438" s="69"/>
      <c r="BG438" s="69"/>
      <c r="BH438" s="69"/>
      <c r="BI438" s="69"/>
      <c r="BJ438" s="69"/>
      <c r="BK438" s="69"/>
      <c r="BL438" s="69"/>
      <c r="BM438" s="69"/>
      <c r="BN438" s="69"/>
      <c r="BO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69"/>
      <c r="BG439" s="69"/>
      <c r="BH439" s="69"/>
      <c r="BI439" s="69"/>
      <c r="BJ439" s="69"/>
      <c r="BK439" s="69"/>
      <c r="BL439" s="69"/>
      <c r="BM439" s="69"/>
      <c r="BN439" s="69"/>
      <c r="BO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  <c r="AY440" s="69"/>
      <c r="AZ440" s="69"/>
      <c r="BA440" s="69"/>
      <c r="BB440" s="69"/>
      <c r="BC440" s="69"/>
      <c r="BD440" s="69"/>
      <c r="BE440" s="69"/>
      <c r="BF440" s="69"/>
      <c r="BG440" s="69"/>
      <c r="BH440" s="69"/>
      <c r="BI440" s="69"/>
      <c r="BJ440" s="69"/>
      <c r="BK440" s="69"/>
      <c r="BL440" s="69"/>
      <c r="BM440" s="69"/>
      <c r="BN440" s="69"/>
      <c r="BO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  <c r="AY441" s="69"/>
      <c r="AZ441" s="69"/>
      <c r="BA441" s="69"/>
      <c r="BB441" s="69"/>
      <c r="BC441" s="69"/>
      <c r="BD441" s="69"/>
      <c r="BE441" s="69"/>
      <c r="BF441" s="69"/>
      <c r="BG441" s="69"/>
      <c r="BH441" s="69"/>
      <c r="BI441" s="69"/>
      <c r="BJ441" s="69"/>
      <c r="BK441" s="69"/>
      <c r="BL441" s="69"/>
      <c r="BM441" s="69"/>
      <c r="BN441" s="69"/>
      <c r="BO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  <c r="AY442" s="69"/>
      <c r="AZ442" s="69"/>
      <c r="BA442" s="69"/>
      <c r="BB442" s="69"/>
      <c r="BC442" s="69"/>
      <c r="BD442" s="69"/>
      <c r="BE442" s="69"/>
      <c r="BF442" s="69"/>
      <c r="BG442" s="69"/>
      <c r="BH442" s="69"/>
      <c r="BI442" s="69"/>
      <c r="BJ442" s="69"/>
      <c r="BK442" s="69"/>
      <c r="BL442" s="69"/>
      <c r="BM442" s="69"/>
      <c r="BN442" s="69"/>
      <c r="BO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69"/>
      <c r="BG443" s="69"/>
      <c r="BH443" s="69"/>
      <c r="BI443" s="69"/>
      <c r="BJ443" s="69"/>
      <c r="BK443" s="69"/>
      <c r="BL443" s="69"/>
      <c r="BM443" s="69"/>
      <c r="BN443" s="69"/>
      <c r="BO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  <c r="AY444" s="69"/>
      <c r="AZ444" s="69"/>
      <c r="BA444" s="69"/>
      <c r="BB444" s="69"/>
      <c r="BC444" s="69"/>
      <c r="BD444" s="69"/>
      <c r="BE444" s="69"/>
      <c r="BF444" s="69"/>
      <c r="BG444" s="69"/>
      <c r="BH444" s="69"/>
      <c r="BI444" s="69"/>
      <c r="BJ444" s="69"/>
      <c r="BK444" s="69"/>
      <c r="BL444" s="69"/>
      <c r="BM444" s="69"/>
      <c r="BN444" s="69"/>
      <c r="BO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  <c r="AY445" s="69"/>
      <c r="AZ445" s="69"/>
      <c r="BA445" s="69"/>
      <c r="BB445" s="69"/>
      <c r="BC445" s="69"/>
      <c r="BD445" s="69"/>
      <c r="BE445" s="69"/>
      <c r="BF445" s="69"/>
      <c r="BG445" s="69"/>
      <c r="BH445" s="69"/>
      <c r="BI445" s="69"/>
      <c r="BJ445" s="69"/>
      <c r="BK445" s="69"/>
      <c r="BL445" s="69"/>
      <c r="BM445" s="69"/>
      <c r="BN445" s="69"/>
      <c r="BO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  <c r="AY446" s="69"/>
      <c r="AZ446" s="69"/>
      <c r="BA446" s="69"/>
      <c r="BB446" s="69"/>
      <c r="BC446" s="69"/>
      <c r="BD446" s="69"/>
      <c r="BE446" s="69"/>
      <c r="BF446" s="69"/>
      <c r="BG446" s="69"/>
      <c r="BH446" s="69"/>
      <c r="BI446" s="69"/>
      <c r="BJ446" s="69"/>
      <c r="BK446" s="69"/>
      <c r="BL446" s="69"/>
      <c r="BM446" s="69"/>
      <c r="BN446" s="69"/>
      <c r="BO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  <c r="AY447" s="69"/>
      <c r="AZ447" s="69"/>
      <c r="BA447" s="69"/>
      <c r="BB447" s="69"/>
      <c r="BC447" s="69"/>
      <c r="BD447" s="69"/>
      <c r="BE447" s="69"/>
      <c r="BF447" s="69"/>
      <c r="BG447" s="69"/>
      <c r="BH447" s="69"/>
      <c r="BI447" s="69"/>
      <c r="BJ447" s="69"/>
      <c r="BK447" s="69"/>
      <c r="BL447" s="69"/>
      <c r="BM447" s="69"/>
      <c r="BN447" s="69"/>
      <c r="BO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  <c r="AY448" s="69"/>
      <c r="AZ448" s="69"/>
      <c r="BA448" s="69"/>
      <c r="BB448" s="69"/>
      <c r="BC448" s="69"/>
      <c r="BD448" s="69"/>
      <c r="BE448" s="69"/>
      <c r="BF448" s="69"/>
      <c r="BG448" s="69"/>
      <c r="BH448" s="69"/>
      <c r="BI448" s="69"/>
      <c r="BJ448" s="69"/>
      <c r="BK448" s="69"/>
      <c r="BL448" s="69"/>
      <c r="BM448" s="69"/>
      <c r="BN448" s="69"/>
      <c r="BO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  <c r="AY449" s="69"/>
      <c r="AZ449" s="69"/>
      <c r="BA449" s="69"/>
      <c r="BB449" s="69"/>
      <c r="BC449" s="69"/>
      <c r="BD449" s="69"/>
      <c r="BE449" s="69"/>
      <c r="BF449" s="69"/>
      <c r="BG449" s="69"/>
      <c r="BH449" s="69"/>
      <c r="BI449" s="69"/>
      <c r="BJ449" s="69"/>
      <c r="BK449" s="69"/>
      <c r="BL449" s="69"/>
      <c r="BM449" s="69"/>
      <c r="BN449" s="69"/>
      <c r="BO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  <c r="AY450" s="69"/>
      <c r="AZ450" s="69"/>
      <c r="BA450" s="69"/>
      <c r="BB450" s="69"/>
      <c r="BC450" s="69"/>
      <c r="BD450" s="69"/>
      <c r="BE450" s="69"/>
      <c r="BF450" s="69"/>
      <c r="BG450" s="69"/>
      <c r="BH450" s="69"/>
      <c r="BI450" s="69"/>
      <c r="BJ450" s="69"/>
      <c r="BK450" s="69"/>
      <c r="BL450" s="69"/>
      <c r="BM450" s="69"/>
      <c r="BN450" s="69"/>
      <c r="BO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  <c r="AY451" s="69"/>
      <c r="AZ451" s="69"/>
      <c r="BA451" s="69"/>
      <c r="BB451" s="69"/>
      <c r="BC451" s="69"/>
      <c r="BD451" s="69"/>
      <c r="BE451" s="69"/>
      <c r="BF451" s="69"/>
      <c r="BG451" s="69"/>
      <c r="BH451" s="69"/>
      <c r="BI451" s="69"/>
      <c r="BJ451" s="69"/>
      <c r="BK451" s="69"/>
      <c r="BL451" s="69"/>
      <c r="BM451" s="69"/>
      <c r="BN451" s="69"/>
      <c r="BO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  <c r="AY452" s="69"/>
      <c r="AZ452" s="69"/>
      <c r="BA452" s="69"/>
      <c r="BB452" s="69"/>
      <c r="BC452" s="69"/>
      <c r="BD452" s="69"/>
      <c r="BE452" s="69"/>
      <c r="BF452" s="69"/>
      <c r="BG452" s="69"/>
      <c r="BH452" s="69"/>
      <c r="BI452" s="69"/>
      <c r="BJ452" s="69"/>
      <c r="BK452" s="69"/>
      <c r="BL452" s="69"/>
      <c r="BM452" s="69"/>
      <c r="BN452" s="69"/>
      <c r="BO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69"/>
      <c r="BG453" s="69"/>
      <c r="BH453" s="69"/>
      <c r="BI453" s="69"/>
      <c r="BJ453" s="69"/>
      <c r="BK453" s="69"/>
      <c r="BL453" s="69"/>
      <c r="BM453" s="69"/>
      <c r="BN453" s="69"/>
      <c r="BO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  <c r="AY454" s="69"/>
      <c r="AZ454" s="69"/>
      <c r="BA454" s="69"/>
      <c r="BB454" s="69"/>
      <c r="BC454" s="69"/>
      <c r="BD454" s="69"/>
      <c r="BE454" s="69"/>
      <c r="BF454" s="69"/>
      <c r="BG454" s="69"/>
      <c r="BH454" s="69"/>
      <c r="BI454" s="69"/>
      <c r="BJ454" s="69"/>
      <c r="BK454" s="69"/>
      <c r="BL454" s="69"/>
      <c r="BM454" s="69"/>
      <c r="BN454" s="69"/>
      <c r="BO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  <c r="AY455" s="69"/>
      <c r="AZ455" s="69"/>
      <c r="BA455" s="69"/>
      <c r="BB455" s="69"/>
      <c r="BC455" s="69"/>
      <c r="BD455" s="69"/>
      <c r="BE455" s="69"/>
      <c r="BF455" s="69"/>
      <c r="BG455" s="69"/>
      <c r="BH455" s="69"/>
      <c r="BI455" s="69"/>
      <c r="BJ455" s="69"/>
      <c r="BK455" s="69"/>
      <c r="BL455" s="69"/>
      <c r="BM455" s="69"/>
      <c r="BN455" s="69"/>
      <c r="BO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  <c r="AY456" s="69"/>
      <c r="AZ456" s="69"/>
      <c r="BA456" s="69"/>
      <c r="BB456" s="69"/>
      <c r="BC456" s="69"/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  <c r="BG458" s="69"/>
      <c r="BH458" s="69"/>
      <c r="BI458" s="69"/>
      <c r="BJ458" s="69"/>
      <c r="BK458" s="69"/>
      <c r="BL458" s="69"/>
      <c r="BM458" s="69"/>
      <c r="BN458" s="69"/>
      <c r="BO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  <c r="BG459" s="69"/>
      <c r="BH459" s="69"/>
      <c r="BI459" s="69"/>
      <c r="BJ459" s="69"/>
      <c r="BK459" s="69"/>
      <c r="BL459" s="69"/>
      <c r="BM459" s="69"/>
      <c r="BN459" s="69"/>
      <c r="BO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  <c r="BC460" s="69"/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  <c r="AY462" s="69"/>
      <c r="AZ462" s="69"/>
      <c r="BA462" s="69"/>
      <c r="BB462" s="69"/>
      <c r="BC462" s="69"/>
      <c r="BD462" s="69"/>
      <c r="BE462" s="69"/>
      <c r="BF462" s="69"/>
      <c r="BG462" s="69"/>
      <c r="BH462" s="69"/>
      <c r="BI462" s="69"/>
      <c r="BJ462" s="69"/>
      <c r="BK462" s="69"/>
      <c r="BL462" s="69"/>
      <c r="BM462" s="69"/>
      <c r="BN462" s="69"/>
      <c r="BO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  <c r="AY463" s="69"/>
      <c r="AZ463" s="69"/>
      <c r="BA463" s="69"/>
      <c r="BB463" s="69"/>
      <c r="BC463" s="69"/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  <c r="BG465" s="69"/>
      <c r="BH465" s="69"/>
      <c r="BI465" s="69"/>
      <c r="BJ465" s="69"/>
      <c r="BK465" s="69"/>
      <c r="BL465" s="69"/>
      <c r="BM465" s="69"/>
      <c r="BN465" s="69"/>
      <c r="BO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  <c r="BC466" s="69"/>
      <c r="BD466" s="69"/>
      <c r="BE466" s="69"/>
      <c r="BF466" s="69"/>
      <c r="BG466" s="69"/>
      <c r="BH466" s="69"/>
      <c r="BI466" s="69"/>
      <c r="BJ466" s="69"/>
      <c r="BK466" s="69"/>
      <c r="BL466" s="69"/>
      <c r="BM466" s="69"/>
      <c r="BN466" s="69"/>
      <c r="BO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  <c r="BC467" s="69"/>
      <c r="BD467" s="69"/>
      <c r="BE467" s="69"/>
      <c r="BF467" s="69"/>
      <c r="BG467" s="69"/>
      <c r="BH467" s="69"/>
      <c r="BI467" s="69"/>
      <c r="BJ467" s="69"/>
      <c r="BK467" s="69"/>
      <c r="BL467" s="69"/>
      <c r="BM467" s="69"/>
      <c r="BN467" s="69"/>
      <c r="BO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  <c r="AY468" s="69"/>
      <c r="AZ468" s="69"/>
      <c r="BA468" s="69"/>
      <c r="BB468" s="69"/>
      <c r="BC468" s="69"/>
      <c r="BD468" s="69"/>
      <c r="BE468" s="69"/>
      <c r="BF468" s="69"/>
      <c r="BG468" s="69"/>
      <c r="BH468" s="69"/>
      <c r="BI468" s="69"/>
      <c r="BJ468" s="69"/>
      <c r="BK468" s="69"/>
      <c r="BL468" s="69"/>
      <c r="BM468" s="69"/>
      <c r="BN468" s="69"/>
      <c r="BO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  <c r="AY469" s="69"/>
      <c r="AZ469" s="69"/>
      <c r="BA469" s="69"/>
      <c r="BB469" s="69"/>
      <c r="BC469" s="69"/>
      <c r="BD469" s="69"/>
      <c r="BE469" s="69"/>
      <c r="BF469" s="69"/>
      <c r="BG469" s="69"/>
      <c r="BH469" s="69"/>
      <c r="BI469" s="69"/>
      <c r="BJ469" s="69"/>
      <c r="BK469" s="69"/>
      <c r="BL469" s="69"/>
      <c r="BM469" s="69"/>
      <c r="BN469" s="69"/>
      <c r="BO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  <c r="AY471" s="69"/>
      <c r="AZ471" s="69"/>
      <c r="BA471" s="69"/>
      <c r="BB471" s="69"/>
      <c r="BC471" s="69"/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  <c r="BC472" s="69"/>
      <c r="BD472" s="69"/>
      <c r="BE472" s="69"/>
      <c r="BF472" s="69"/>
      <c r="BG472" s="69"/>
      <c r="BH472" s="69"/>
      <c r="BI472" s="69"/>
      <c r="BJ472" s="69"/>
      <c r="BK472" s="69"/>
      <c r="BL472" s="69"/>
      <c r="BM472" s="69"/>
      <c r="BN472" s="69"/>
      <c r="BO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  <c r="AY474" s="69"/>
      <c r="AZ474" s="69"/>
      <c r="BA474" s="69"/>
      <c r="BB474" s="69"/>
      <c r="BC474" s="69"/>
      <c r="BD474" s="69"/>
      <c r="BE474" s="69"/>
      <c r="BF474" s="69"/>
      <c r="BG474" s="69"/>
      <c r="BH474" s="69"/>
      <c r="BI474" s="69"/>
      <c r="BJ474" s="69"/>
      <c r="BK474" s="69"/>
      <c r="BL474" s="69"/>
      <c r="BM474" s="69"/>
      <c r="BN474" s="69"/>
      <c r="BO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  <c r="BC475" s="69"/>
      <c r="BD475" s="69"/>
      <c r="BE475" s="69"/>
      <c r="BF475" s="69"/>
      <c r="BG475" s="69"/>
      <c r="BH475" s="69"/>
      <c r="BI475" s="69"/>
      <c r="BJ475" s="69"/>
      <c r="BK475" s="69"/>
      <c r="BL475" s="69"/>
      <c r="BM475" s="69"/>
      <c r="BN475" s="69"/>
      <c r="BO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  <c r="BC476" s="69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  <c r="AY477" s="69"/>
      <c r="AZ477" s="69"/>
      <c r="BA477" s="69"/>
      <c r="BB477" s="69"/>
      <c r="BC477" s="69"/>
      <c r="BD477" s="69"/>
      <c r="BE477" s="69"/>
      <c r="BF477" s="69"/>
      <c r="BG477" s="69"/>
      <c r="BH477" s="69"/>
      <c r="BI477" s="69"/>
      <c r="BJ477" s="69"/>
      <c r="BK477" s="69"/>
      <c r="BL477" s="69"/>
      <c r="BM477" s="69"/>
      <c r="BN477" s="69"/>
      <c r="BO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  <c r="AY478" s="69"/>
      <c r="AZ478" s="69"/>
      <c r="BA478" s="69"/>
      <c r="BB478" s="69"/>
      <c r="BC478" s="69"/>
      <c r="BD478" s="69"/>
      <c r="BE478" s="69"/>
      <c r="BF478" s="69"/>
      <c r="BG478" s="69"/>
      <c r="BH478" s="69"/>
      <c r="BI478" s="69"/>
      <c r="BJ478" s="69"/>
      <c r="BK478" s="69"/>
      <c r="BL478" s="69"/>
      <c r="BM478" s="69"/>
      <c r="BN478" s="69"/>
      <c r="BO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  <c r="BC479" s="69"/>
      <c r="BD479" s="69"/>
      <c r="BE479" s="69"/>
      <c r="BF479" s="69"/>
      <c r="BG479" s="69"/>
      <c r="BH479" s="69"/>
      <c r="BI479" s="69"/>
      <c r="BJ479" s="69"/>
      <c r="BK479" s="69"/>
      <c r="BL479" s="69"/>
      <c r="BM479" s="69"/>
      <c r="BN479" s="69"/>
      <c r="BO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  <c r="BC480" s="69"/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  <c r="AY481" s="69"/>
      <c r="AZ481" s="69"/>
      <c r="BA481" s="69"/>
      <c r="BB481" s="69"/>
      <c r="BC481" s="69"/>
      <c r="BD481" s="69"/>
      <c r="BE481" s="69"/>
      <c r="BF481" s="69"/>
      <c r="BG481" s="69"/>
      <c r="BH481" s="69"/>
      <c r="BI481" s="69"/>
      <c r="BJ481" s="69"/>
      <c r="BK481" s="69"/>
      <c r="BL481" s="69"/>
      <c r="BM481" s="69"/>
      <c r="BN481" s="69"/>
      <c r="BO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  <c r="BC482" s="69"/>
      <c r="BD482" s="69"/>
      <c r="BE482" s="69"/>
      <c r="BF482" s="69"/>
      <c r="BG482" s="69"/>
      <c r="BH482" s="69"/>
      <c r="BI482" s="69"/>
      <c r="BJ482" s="69"/>
      <c r="BK482" s="69"/>
      <c r="BL482" s="69"/>
      <c r="BM482" s="69"/>
      <c r="BN482" s="69"/>
      <c r="BO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  <c r="AY484" s="69"/>
      <c r="AZ484" s="69"/>
      <c r="BA484" s="69"/>
      <c r="BB484" s="69"/>
      <c r="BC484" s="69"/>
      <c r="BD484" s="69"/>
      <c r="BE484" s="69"/>
      <c r="BF484" s="69"/>
      <c r="BG484" s="69"/>
      <c r="BH484" s="69"/>
      <c r="BI484" s="69"/>
      <c r="BJ484" s="69"/>
      <c r="BK484" s="69"/>
      <c r="BL484" s="69"/>
      <c r="BM484" s="69"/>
      <c r="BN484" s="69"/>
      <c r="BO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  <c r="AY485" s="69"/>
      <c r="AZ485" s="69"/>
      <c r="BA485" s="69"/>
      <c r="BB485" s="69"/>
      <c r="BC485" s="69"/>
      <c r="BD485" s="69"/>
      <c r="BE485" s="69"/>
      <c r="BF485" s="69"/>
      <c r="BG485" s="69"/>
      <c r="BH485" s="69"/>
      <c r="BI485" s="69"/>
      <c r="BJ485" s="69"/>
      <c r="BK485" s="69"/>
      <c r="BL485" s="69"/>
      <c r="BM485" s="69"/>
      <c r="BN485" s="69"/>
      <c r="BO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  <c r="AY486" s="69"/>
      <c r="AZ486" s="69"/>
      <c r="BA486" s="69"/>
      <c r="BB486" s="69"/>
      <c r="BC486" s="69"/>
      <c r="BD486" s="69"/>
      <c r="BE486" s="69"/>
      <c r="BF486" s="69"/>
      <c r="BG486" s="69"/>
      <c r="BH486" s="69"/>
      <c r="BI486" s="69"/>
      <c r="BJ486" s="69"/>
      <c r="BK486" s="69"/>
      <c r="BL486" s="69"/>
      <c r="BM486" s="69"/>
      <c r="BN486" s="69"/>
      <c r="BO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  <c r="AY487" s="69"/>
      <c r="AZ487" s="69"/>
      <c r="BA487" s="69"/>
      <c r="BB487" s="69"/>
      <c r="BC487" s="69"/>
      <c r="BD487" s="69"/>
      <c r="BE487" s="69"/>
      <c r="BF487" s="69"/>
      <c r="BG487" s="69"/>
      <c r="BH487" s="69"/>
      <c r="BI487" s="69"/>
      <c r="BJ487" s="69"/>
      <c r="BK487" s="69"/>
      <c r="BL487" s="69"/>
      <c r="BM487" s="69"/>
      <c r="BN487" s="69"/>
      <c r="BO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69"/>
      <c r="BG488" s="69"/>
      <c r="BH488" s="69"/>
      <c r="BI488" s="69"/>
      <c r="BJ488" s="69"/>
      <c r="BK488" s="69"/>
      <c r="BL488" s="69"/>
      <c r="BM488" s="69"/>
      <c r="BN488" s="69"/>
      <c r="BO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  <c r="AY489" s="69"/>
      <c r="AZ489" s="69"/>
      <c r="BA489" s="69"/>
      <c r="BB489" s="69"/>
      <c r="BC489" s="69"/>
      <c r="BD489" s="69"/>
      <c r="BE489" s="69"/>
      <c r="BF489" s="69"/>
      <c r="BG489" s="69"/>
      <c r="BH489" s="69"/>
      <c r="BI489" s="69"/>
      <c r="BJ489" s="69"/>
      <c r="BK489" s="69"/>
      <c r="BL489" s="69"/>
      <c r="BM489" s="69"/>
      <c r="BN489" s="69"/>
      <c r="BO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69"/>
      <c r="BG490" s="69"/>
      <c r="BH490" s="69"/>
      <c r="BI490" s="69"/>
      <c r="BJ490" s="69"/>
      <c r="BK490" s="69"/>
      <c r="BL490" s="69"/>
      <c r="BM490" s="69"/>
      <c r="BN490" s="69"/>
      <c r="BO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  <c r="AY491" s="69"/>
      <c r="AZ491" s="69"/>
      <c r="BA491" s="69"/>
      <c r="BB491" s="69"/>
      <c r="BC491" s="69"/>
      <c r="BD491" s="69"/>
      <c r="BE491" s="69"/>
      <c r="BF491" s="69"/>
      <c r="BG491" s="69"/>
      <c r="BH491" s="69"/>
      <c r="BI491" s="69"/>
      <c r="BJ491" s="69"/>
      <c r="BK491" s="69"/>
      <c r="BL491" s="69"/>
      <c r="BM491" s="69"/>
      <c r="BN491" s="69"/>
      <c r="BO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  <c r="AY492" s="69"/>
      <c r="AZ492" s="69"/>
      <c r="BA492" s="69"/>
      <c r="BB492" s="69"/>
      <c r="BC492" s="69"/>
      <c r="BD492" s="69"/>
      <c r="BE492" s="69"/>
      <c r="BF492" s="69"/>
      <c r="BG492" s="69"/>
      <c r="BH492" s="69"/>
      <c r="BI492" s="69"/>
      <c r="BJ492" s="69"/>
      <c r="BK492" s="69"/>
      <c r="BL492" s="69"/>
      <c r="BM492" s="69"/>
      <c r="BN492" s="69"/>
      <c r="BO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  <c r="AY493" s="69"/>
      <c r="AZ493" s="69"/>
      <c r="BA493" s="69"/>
      <c r="BB493" s="69"/>
      <c r="BC493" s="69"/>
      <c r="BD493" s="69"/>
      <c r="BE493" s="69"/>
      <c r="BF493" s="69"/>
      <c r="BG493" s="69"/>
      <c r="BH493" s="69"/>
      <c r="BI493" s="69"/>
      <c r="BJ493" s="69"/>
      <c r="BK493" s="69"/>
      <c r="BL493" s="69"/>
      <c r="BM493" s="69"/>
      <c r="BN493" s="69"/>
      <c r="BO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69"/>
      <c r="BG494" s="69"/>
      <c r="BH494" s="69"/>
      <c r="BI494" s="69"/>
      <c r="BJ494" s="69"/>
      <c r="BK494" s="69"/>
      <c r="BL494" s="69"/>
      <c r="BM494" s="69"/>
      <c r="BN494" s="69"/>
      <c r="BO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/>
      <c r="BF495" s="69"/>
      <c r="BG495" s="69"/>
      <c r="BH495" s="69"/>
      <c r="BI495" s="69"/>
      <c r="BJ495" s="69"/>
      <c r="BK495" s="69"/>
      <c r="BL495" s="69"/>
      <c r="BM495" s="69"/>
      <c r="BN495" s="69"/>
      <c r="BO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  <c r="AY496" s="69"/>
      <c r="AZ496" s="69"/>
      <c r="BA496" s="69"/>
      <c r="BB496" s="69"/>
      <c r="BC496" s="69"/>
      <c r="BD496" s="69"/>
      <c r="BE496" s="69"/>
      <c r="BF496" s="69"/>
      <c r="BG496" s="69"/>
      <c r="BH496" s="69"/>
      <c r="BI496" s="69"/>
      <c r="BJ496" s="69"/>
      <c r="BK496" s="69"/>
      <c r="BL496" s="69"/>
      <c r="BM496" s="69"/>
      <c r="BN496" s="69"/>
      <c r="BO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  <c r="AY497" s="69"/>
      <c r="AZ497" s="69"/>
      <c r="BA497" s="69"/>
      <c r="BB497" s="69"/>
      <c r="BC497" s="69"/>
      <c r="BD497" s="69"/>
      <c r="BE497" s="69"/>
      <c r="BF497" s="69"/>
      <c r="BG497" s="69"/>
      <c r="BH497" s="69"/>
      <c r="BI497" s="69"/>
      <c r="BJ497" s="69"/>
      <c r="BK497" s="69"/>
      <c r="BL497" s="69"/>
      <c r="BM497" s="69"/>
      <c r="BN497" s="69"/>
      <c r="BO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  <c r="AY498" s="69"/>
      <c r="AZ498" s="69"/>
      <c r="BA498" s="69"/>
      <c r="BB498" s="69"/>
      <c r="BC498" s="69"/>
      <c r="BD498" s="69"/>
      <c r="BE498" s="69"/>
      <c r="BF498" s="69"/>
      <c r="BG498" s="69"/>
      <c r="BH498" s="69"/>
      <c r="BI498" s="69"/>
      <c r="BJ498" s="69"/>
      <c r="BK498" s="69"/>
      <c r="BL498" s="69"/>
      <c r="BM498" s="69"/>
      <c r="BN498" s="69"/>
      <c r="BO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  <c r="AY499" s="69"/>
      <c r="AZ499" s="69"/>
      <c r="BA499" s="69"/>
      <c r="BB499" s="69"/>
      <c r="BC499" s="69"/>
      <c r="BD499" s="69"/>
      <c r="BE499" s="69"/>
      <c r="BF499" s="69"/>
      <c r="BG499" s="69"/>
      <c r="BH499" s="69"/>
      <c r="BI499" s="69"/>
      <c r="BJ499" s="69"/>
      <c r="BK499" s="69"/>
      <c r="BL499" s="69"/>
      <c r="BM499" s="69"/>
      <c r="BN499" s="69"/>
      <c r="BO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  <c r="AY500" s="69"/>
      <c r="AZ500" s="69"/>
      <c r="BA500" s="69"/>
      <c r="BB500" s="69"/>
      <c r="BC500" s="69"/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  <c r="AY501" s="69"/>
      <c r="AZ501" s="69"/>
      <c r="BA501" s="69"/>
      <c r="BB501" s="69"/>
      <c r="BC501" s="69"/>
      <c r="BD501" s="69"/>
      <c r="BE501" s="69"/>
      <c r="BF501" s="69"/>
      <c r="BG501" s="69"/>
      <c r="BH501" s="69"/>
      <c r="BI501" s="69"/>
      <c r="BJ501" s="69"/>
      <c r="BK501" s="69"/>
      <c r="BL501" s="69"/>
      <c r="BM501" s="69"/>
      <c r="BN501" s="69"/>
      <c r="BO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  <c r="AY502" s="69"/>
      <c r="AZ502" s="69"/>
      <c r="BA502" s="69"/>
      <c r="BB502" s="69"/>
      <c r="BC502" s="69"/>
      <c r="BD502" s="69"/>
      <c r="BE502" s="69"/>
      <c r="BF502" s="69"/>
      <c r="BG502" s="69"/>
      <c r="BH502" s="69"/>
      <c r="BI502" s="69"/>
      <c r="BJ502" s="69"/>
      <c r="BK502" s="69"/>
      <c r="BL502" s="69"/>
      <c r="BM502" s="69"/>
      <c r="BN502" s="69"/>
      <c r="BO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  <c r="AY503" s="69"/>
      <c r="AZ503" s="69"/>
      <c r="BA503" s="69"/>
      <c r="BB503" s="69"/>
      <c r="BC503" s="69"/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  <c r="AY504" s="69"/>
      <c r="AZ504" s="69"/>
      <c r="BA504" s="69"/>
      <c r="BB504" s="69"/>
      <c r="BC504" s="69"/>
      <c r="BD504" s="69"/>
      <c r="BE504" s="69"/>
      <c r="BF504" s="69"/>
      <c r="BG504" s="69"/>
      <c r="BH504" s="69"/>
      <c r="BI504" s="69"/>
      <c r="BJ504" s="69"/>
      <c r="BK504" s="69"/>
      <c r="BL504" s="69"/>
      <c r="BM504" s="69"/>
      <c r="BN504" s="69"/>
      <c r="BO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  <c r="AY505" s="69"/>
      <c r="AZ505" s="69"/>
      <c r="BA505" s="69"/>
      <c r="BB505" s="69"/>
      <c r="BC505" s="69"/>
      <c r="BD505" s="69"/>
      <c r="BE505" s="69"/>
      <c r="BF505" s="69"/>
      <c r="BG505" s="69"/>
      <c r="BH505" s="69"/>
      <c r="BI505" s="69"/>
      <c r="BJ505" s="69"/>
      <c r="BK505" s="69"/>
      <c r="BL505" s="69"/>
      <c r="BM505" s="69"/>
      <c r="BN505" s="69"/>
      <c r="BO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  <c r="AY506" s="69"/>
      <c r="AZ506" s="69"/>
      <c r="BA506" s="69"/>
      <c r="BB506" s="69"/>
      <c r="BC506" s="69"/>
      <c r="BD506" s="69"/>
      <c r="BE506" s="69"/>
      <c r="BF506" s="69"/>
      <c r="BG506" s="69"/>
      <c r="BH506" s="69"/>
      <c r="BI506" s="69"/>
      <c r="BJ506" s="69"/>
      <c r="BK506" s="69"/>
      <c r="BL506" s="69"/>
      <c r="BM506" s="69"/>
      <c r="BN506" s="69"/>
      <c r="BO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  <c r="AY507" s="69"/>
      <c r="AZ507" s="69"/>
      <c r="BA507" s="69"/>
      <c r="BB507" s="69"/>
      <c r="BC507" s="69"/>
      <c r="BD507" s="69"/>
      <c r="BE507" s="69"/>
      <c r="BF507" s="69"/>
      <c r="BG507" s="69"/>
      <c r="BH507" s="69"/>
      <c r="BI507" s="69"/>
      <c r="BJ507" s="69"/>
      <c r="BK507" s="69"/>
      <c r="BL507" s="69"/>
      <c r="BM507" s="69"/>
      <c r="BN507" s="69"/>
      <c r="BO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  <c r="AY508" s="69"/>
      <c r="AZ508" s="69"/>
      <c r="BA508" s="69"/>
      <c r="BB508" s="69"/>
      <c r="BC508" s="69"/>
      <c r="BD508" s="69"/>
      <c r="BE508" s="69"/>
      <c r="BF508" s="69"/>
      <c r="BG508" s="69"/>
      <c r="BH508" s="69"/>
      <c r="BI508" s="69"/>
      <c r="BJ508" s="69"/>
      <c r="BK508" s="69"/>
      <c r="BL508" s="69"/>
      <c r="BM508" s="69"/>
      <c r="BN508" s="69"/>
      <c r="BO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69"/>
      <c r="BG509" s="69"/>
      <c r="BH509" s="69"/>
      <c r="BI509" s="69"/>
      <c r="BJ509" s="69"/>
      <c r="BK509" s="69"/>
      <c r="BL509" s="69"/>
      <c r="BM509" s="69"/>
      <c r="BN509" s="69"/>
      <c r="BO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  <c r="AY510" s="69"/>
      <c r="AZ510" s="69"/>
      <c r="BA510" s="69"/>
      <c r="BB510" s="69"/>
      <c r="BC510" s="69"/>
      <c r="BD510" s="69"/>
      <c r="BE510" s="69"/>
      <c r="BF510" s="69"/>
      <c r="BG510" s="69"/>
      <c r="BH510" s="69"/>
      <c r="BI510" s="69"/>
      <c r="BJ510" s="69"/>
      <c r="BK510" s="69"/>
      <c r="BL510" s="69"/>
      <c r="BM510" s="69"/>
      <c r="BN510" s="69"/>
      <c r="BO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  <c r="AY511" s="69"/>
      <c r="AZ511" s="69"/>
      <c r="BA511" s="69"/>
      <c r="BB511" s="69"/>
      <c r="BC511" s="69"/>
      <c r="BD511" s="69"/>
      <c r="BE511" s="69"/>
      <c r="BF511" s="69"/>
      <c r="BG511" s="69"/>
      <c r="BH511" s="69"/>
      <c r="BI511" s="69"/>
      <c r="BJ511" s="69"/>
      <c r="BK511" s="69"/>
      <c r="BL511" s="69"/>
      <c r="BM511" s="69"/>
      <c r="BN511" s="69"/>
      <c r="BO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  <c r="AY512" s="69"/>
      <c r="AZ512" s="69"/>
      <c r="BA512" s="69"/>
      <c r="BB512" s="69"/>
      <c r="BC512" s="69"/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  <c r="AY513" s="69"/>
      <c r="AZ513" s="69"/>
      <c r="BA513" s="69"/>
      <c r="BB513" s="69"/>
      <c r="BC513" s="69"/>
      <c r="BD513" s="69"/>
      <c r="BE513" s="69"/>
      <c r="BF513" s="69"/>
      <c r="BG513" s="69"/>
      <c r="BH513" s="69"/>
      <c r="BI513" s="69"/>
      <c r="BJ513" s="69"/>
      <c r="BK513" s="69"/>
      <c r="BL513" s="69"/>
      <c r="BM513" s="69"/>
      <c r="BN513" s="69"/>
      <c r="BO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  <c r="AY514" s="69"/>
      <c r="AZ514" s="69"/>
      <c r="BA514" s="69"/>
      <c r="BB514" s="69"/>
      <c r="BC514" s="69"/>
      <c r="BD514" s="69"/>
      <c r="BE514" s="69"/>
      <c r="BF514" s="69"/>
      <c r="BG514" s="69"/>
      <c r="BH514" s="69"/>
      <c r="BI514" s="69"/>
      <c r="BJ514" s="69"/>
      <c r="BK514" s="69"/>
      <c r="BL514" s="69"/>
      <c r="BM514" s="69"/>
      <c r="BN514" s="69"/>
      <c r="BO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  <c r="AY515" s="69"/>
      <c r="AZ515" s="69"/>
      <c r="BA515" s="69"/>
      <c r="BB515" s="69"/>
      <c r="BC515" s="69"/>
      <c r="BD515" s="69"/>
      <c r="BE515" s="69"/>
      <c r="BF515" s="69"/>
      <c r="BG515" s="69"/>
      <c r="BH515" s="69"/>
      <c r="BI515" s="69"/>
      <c r="BJ515" s="69"/>
      <c r="BK515" s="69"/>
      <c r="BL515" s="69"/>
      <c r="BM515" s="69"/>
      <c r="BN515" s="69"/>
      <c r="BO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  <c r="AY516" s="69"/>
      <c r="AZ516" s="69"/>
      <c r="BA516" s="69"/>
      <c r="BB516" s="69"/>
      <c r="BC516" s="69"/>
      <c r="BD516" s="69"/>
      <c r="BE516" s="69"/>
      <c r="BF516" s="69"/>
      <c r="BG516" s="69"/>
      <c r="BH516" s="69"/>
      <c r="BI516" s="69"/>
      <c r="BJ516" s="69"/>
      <c r="BK516" s="69"/>
      <c r="BL516" s="69"/>
      <c r="BM516" s="69"/>
      <c r="BN516" s="69"/>
      <c r="BO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  <c r="AY517" s="69"/>
      <c r="AZ517" s="69"/>
      <c r="BA517" s="69"/>
      <c r="BB517" s="69"/>
      <c r="BC517" s="69"/>
      <c r="BD517" s="69"/>
      <c r="BE517" s="69"/>
      <c r="BF517" s="69"/>
      <c r="BG517" s="69"/>
      <c r="BH517" s="69"/>
      <c r="BI517" s="69"/>
      <c r="BJ517" s="69"/>
      <c r="BK517" s="69"/>
      <c r="BL517" s="69"/>
      <c r="BM517" s="69"/>
      <c r="BN517" s="69"/>
      <c r="BO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  <c r="AY518" s="69"/>
      <c r="AZ518" s="69"/>
      <c r="BA518" s="69"/>
      <c r="BB518" s="69"/>
      <c r="BC518" s="69"/>
      <c r="BD518" s="69"/>
      <c r="BE518" s="69"/>
      <c r="BF518" s="69"/>
      <c r="BG518" s="69"/>
      <c r="BH518" s="69"/>
      <c r="BI518" s="69"/>
      <c r="BJ518" s="69"/>
      <c r="BK518" s="69"/>
      <c r="BL518" s="69"/>
      <c r="BM518" s="69"/>
      <c r="BN518" s="69"/>
      <c r="BO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  <c r="AY519" s="69"/>
      <c r="AZ519" s="69"/>
      <c r="BA519" s="69"/>
      <c r="BB519" s="69"/>
      <c r="BC519" s="69"/>
      <c r="BD519" s="69"/>
      <c r="BE519" s="69"/>
      <c r="BF519" s="69"/>
      <c r="BG519" s="69"/>
      <c r="BH519" s="69"/>
      <c r="BI519" s="69"/>
      <c r="BJ519" s="69"/>
      <c r="BK519" s="69"/>
      <c r="BL519" s="69"/>
      <c r="BM519" s="69"/>
      <c r="BN519" s="69"/>
      <c r="BO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  <c r="AY520" s="69"/>
      <c r="AZ520" s="69"/>
      <c r="BA520" s="69"/>
      <c r="BB520" s="69"/>
      <c r="BC520" s="69"/>
      <c r="BD520" s="69"/>
      <c r="BE520" s="69"/>
      <c r="BF520" s="69"/>
      <c r="BG520" s="69"/>
      <c r="BH520" s="69"/>
      <c r="BI520" s="69"/>
      <c r="BJ520" s="69"/>
      <c r="BK520" s="69"/>
      <c r="BL520" s="69"/>
      <c r="BM520" s="69"/>
      <c r="BN520" s="69"/>
      <c r="BO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  <c r="AY521" s="69"/>
      <c r="AZ521" s="69"/>
      <c r="BA521" s="69"/>
      <c r="BB521" s="69"/>
      <c r="BC521" s="69"/>
      <c r="BD521" s="69"/>
      <c r="BE521" s="69"/>
      <c r="BF521" s="69"/>
      <c r="BG521" s="69"/>
      <c r="BH521" s="69"/>
      <c r="BI521" s="69"/>
      <c r="BJ521" s="69"/>
      <c r="BK521" s="69"/>
      <c r="BL521" s="69"/>
      <c r="BM521" s="69"/>
      <c r="BN521" s="69"/>
      <c r="BO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  <c r="AY522" s="69"/>
      <c r="AZ522" s="69"/>
      <c r="BA522" s="69"/>
      <c r="BB522" s="69"/>
      <c r="BC522" s="69"/>
      <c r="BD522" s="69"/>
      <c r="BE522" s="69"/>
      <c r="BF522" s="69"/>
      <c r="BG522" s="69"/>
      <c r="BH522" s="69"/>
      <c r="BI522" s="69"/>
      <c r="BJ522" s="69"/>
      <c r="BK522" s="69"/>
      <c r="BL522" s="69"/>
      <c r="BM522" s="69"/>
      <c r="BN522" s="69"/>
      <c r="BO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69"/>
      <c r="BH523" s="69"/>
      <c r="BI523" s="69"/>
      <c r="BJ523" s="69"/>
      <c r="BK523" s="69"/>
      <c r="BL523" s="69"/>
      <c r="BM523" s="69"/>
      <c r="BN523" s="69"/>
      <c r="BO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  <c r="AY524" s="69"/>
      <c r="AZ524" s="69"/>
      <c r="BA524" s="69"/>
      <c r="BB524" s="69"/>
      <c r="BC524" s="69"/>
      <c r="BD524" s="69"/>
      <c r="BE524" s="69"/>
      <c r="BF524" s="69"/>
      <c r="BG524" s="69"/>
      <c r="BH524" s="69"/>
      <c r="BI524" s="69"/>
      <c r="BJ524" s="69"/>
      <c r="BK524" s="69"/>
      <c r="BL524" s="69"/>
      <c r="BM524" s="69"/>
      <c r="BN524" s="69"/>
      <c r="BO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  <c r="AY525" s="69"/>
      <c r="AZ525" s="69"/>
      <c r="BA525" s="69"/>
      <c r="BB525" s="69"/>
      <c r="BC525" s="69"/>
      <c r="BD525" s="69"/>
      <c r="BE525" s="69"/>
      <c r="BF525" s="69"/>
      <c r="BG525" s="69"/>
      <c r="BH525" s="69"/>
      <c r="BI525" s="69"/>
      <c r="BJ525" s="69"/>
      <c r="BK525" s="69"/>
      <c r="BL525" s="69"/>
      <c r="BM525" s="69"/>
      <c r="BN525" s="69"/>
      <c r="BO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  <c r="AY526" s="69"/>
      <c r="AZ526" s="69"/>
      <c r="BA526" s="69"/>
      <c r="BB526" s="69"/>
      <c r="BC526" s="69"/>
      <c r="BD526" s="69"/>
      <c r="BE526" s="69"/>
      <c r="BF526" s="69"/>
      <c r="BG526" s="69"/>
      <c r="BH526" s="69"/>
      <c r="BI526" s="69"/>
      <c r="BJ526" s="69"/>
      <c r="BK526" s="69"/>
      <c r="BL526" s="69"/>
      <c r="BM526" s="69"/>
      <c r="BN526" s="69"/>
      <c r="BO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  <c r="AY527" s="69"/>
      <c r="AZ527" s="69"/>
      <c r="BA527" s="69"/>
      <c r="BB527" s="69"/>
      <c r="BC527" s="69"/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  <c r="AY528" s="69"/>
      <c r="AZ528" s="69"/>
      <c r="BA528" s="69"/>
      <c r="BB528" s="69"/>
      <c r="BC528" s="69"/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  <c r="AY529" s="69"/>
      <c r="AZ529" s="69"/>
      <c r="BA529" s="69"/>
      <c r="BB529" s="69"/>
      <c r="BC529" s="69"/>
      <c r="BD529" s="69"/>
      <c r="BE529" s="69"/>
      <c r="BF529" s="69"/>
      <c r="BG529" s="69"/>
      <c r="BH529" s="69"/>
      <c r="BI529" s="69"/>
      <c r="BJ529" s="69"/>
      <c r="BK529" s="69"/>
      <c r="BL529" s="69"/>
      <c r="BM529" s="69"/>
      <c r="BN529" s="69"/>
      <c r="BO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  <c r="AY530" s="69"/>
      <c r="AZ530" s="69"/>
      <c r="BA530" s="69"/>
      <c r="BB530" s="69"/>
      <c r="BC530" s="69"/>
      <c r="BD530" s="69"/>
      <c r="BE530" s="69"/>
      <c r="BF530" s="69"/>
      <c r="BG530" s="69"/>
      <c r="BH530" s="69"/>
      <c r="BI530" s="69"/>
      <c r="BJ530" s="69"/>
      <c r="BK530" s="69"/>
      <c r="BL530" s="69"/>
      <c r="BM530" s="69"/>
      <c r="BN530" s="69"/>
      <c r="BO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  <c r="AY531" s="69"/>
      <c r="AZ531" s="69"/>
      <c r="BA531" s="69"/>
      <c r="BB531" s="69"/>
      <c r="BC531" s="69"/>
      <c r="BD531" s="69"/>
      <c r="BE531" s="69"/>
      <c r="BF531" s="69"/>
      <c r="BG531" s="69"/>
      <c r="BH531" s="69"/>
      <c r="BI531" s="69"/>
      <c r="BJ531" s="69"/>
      <c r="BK531" s="69"/>
      <c r="BL531" s="69"/>
      <c r="BM531" s="69"/>
      <c r="BN531" s="69"/>
      <c r="BO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  <c r="AY532" s="69"/>
      <c r="AZ532" s="69"/>
      <c r="BA532" s="69"/>
      <c r="BB532" s="69"/>
      <c r="BC532" s="69"/>
      <c r="BD532" s="69"/>
      <c r="BE532" s="69"/>
      <c r="BF532" s="69"/>
      <c r="BG532" s="69"/>
      <c r="BH532" s="69"/>
      <c r="BI532" s="69"/>
      <c r="BJ532" s="69"/>
      <c r="BK532" s="69"/>
      <c r="BL532" s="69"/>
      <c r="BM532" s="69"/>
      <c r="BN532" s="69"/>
      <c r="BO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  <c r="AY533" s="69"/>
      <c r="AZ533" s="69"/>
      <c r="BA533" s="69"/>
      <c r="BB533" s="69"/>
      <c r="BC533" s="69"/>
      <c r="BD533" s="69"/>
      <c r="BE533" s="69"/>
      <c r="BF533" s="69"/>
      <c r="BG533" s="69"/>
      <c r="BH533" s="69"/>
      <c r="BI533" s="69"/>
      <c r="BJ533" s="69"/>
      <c r="BK533" s="69"/>
      <c r="BL533" s="69"/>
      <c r="BM533" s="69"/>
      <c r="BN533" s="69"/>
      <c r="BO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  <c r="AY534" s="69"/>
      <c r="AZ534" s="69"/>
      <c r="BA534" s="69"/>
      <c r="BB534" s="69"/>
      <c r="BC534" s="69"/>
      <c r="BD534" s="69"/>
      <c r="BE534" s="69"/>
      <c r="BF534" s="69"/>
      <c r="BG534" s="69"/>
      <c r="BH534" s="69"/>
      <c r="BI534" s="69"/>
      <c r="BJ534" s="69"/>
      <c r="BK534" s="69"/>
      <c r="BL534" s="69"/>
      <c r="BM534" s="69"/>
      <c r="BN534" s="69"/>
      <c r="BO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  <c r="AY535" s="69"/>
      <c r="AZ535" s="69"/>
      <c r="BA535" s="69"/>
      <c r="BB535" s="69"/>
      <c r="BC535" s="69"/>
      <c r="BD535" s="69"/>
      <c r="BE535" s="69"/>
      <c r="BF535" s="69"/>
      <c r="BG535" s="69"/>
      <c r="BH535" s="69"/>
      <c r="BI535" s="69"/>
      <c r="BJ535" s="69"/>
      <c r="BK535" s="69"/>
      <c r="BL535" s="69"/>
      <c r="BM535" s="69"/>
      <c r="BN535" s="69"/>
      <c r="BO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  <c r="AY536" s="69"/>
      <c r="AZ536" s="69"/>
      <c r="BA536" s="69"/>
      <c r="BB536" s="69"/>
      <c r="BC536" s="69"/>
      <c r="BD536" s="69"/>
      <c r="BE536" s="69"/>
      <c r="BF536" s="69"/>
      <c r="BG536" s="69"/>
      <c r="BH536" s="69"/>
      <c r="BI536" s="69"/>
      <c r="BJ536" s="69"/>
      <c r="BK536" s="69"/>
      <c r="BL536" s="69"/>
      <c r="BM536" s="69"/>
      <c r="BN536" s="69"/>
      <c r="BO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  <c r="AY537" s="69"/>
      <c r="AZ537" s="69"/>
      <c r="BA537" s="69"/>
      <c r="BB537" s="69"/>
      <c r="BC537" s="69"/>
      <c r="BD537" s="69"/>
      <c r="BE537" s="69"/>
      <c r="BF537" s="69"/>
      <c r="BG537" s="69"/>
      <c r="BH537" s="69"/>
      <c r="BI537" s="69"/>
      <c r="BJ537" s="69"/>
      <c r="BK537" s="69"/>
      <c r="BL537" s="69"/>
      <c r="BM537" s="69"/>
      <c r="BN537" s="69"/>
      <c r="BO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  <c r="AY538" s="69"/>
      <c r="AZ538" s="69"/>
      <c r="BA538" s="69"/>
      <c r="BB538" s="69"/>
      <c r="BC538" s="69"/>
      <c r="BD538" s="69"/>
      <c r="BE538" s="69"/>
      <c r="BF538" s="69"/>
      <c r="BG538" s="69"/>
      <c r="BH538" s="69"/>
      <c r="BI538" s="69"/>
      <c r="BJ538" s="69"/>
      <c r="BK538" s="69"/>
      <c r="BL538" s="69"/>
      <c r="BM538" s="69"/>
      <c r="BN538" s="69"/>
      <c r="BO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  <c r="AY539" s="69"/>
      <c r="AZ539" s="69"/>
      <c r="BA539" s="69"/>
      <c r="BB539" s="69"/>
      <c r="BC539" s="69"/>
      <c r="BD539" s="69"/>
      <c r="BE539" s="69"/>
      <c r="BF539" s="69"/>
      <c r="BG539" s="69"/>
      <c r="BH539" s="69"/>
      <c r="BI539" s="69"/>
      <c r="BJ539" s="69"/>
      <c r="BK539" s="69"/>
      <c r="BL539" s="69"/>
      <c r="BM539" s="69"/>
      <c r="BN539" s="69"/>
      <c r="BO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  <c r="AY540" s="69"/>
      <c r="AZ540" s="69"/>
      <c r="BA540" s="69"/>
      <c r="BB540" s="69"/>
      <c r="BC540" s="69"/>
      <c r="BD540" s="69"/>
      <c r="BE540" s="69"/>
      <c r="BF540" s="69"/>
      <c r="BG540" s="69"/>
      <c r="BH540" s="69"/>
      <c r="BI540" s="69"/>
      <c r="BJ540" s="69"/>
      <c r="BK540" s="69"/>
      <c r="BL540" s="69"/>
      <c r="BM540" s="69"/>
      <c r="BN540" s="69"/>
      <c r="BO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  <c r="AY541" s="69"/>
      <c r="AZ541" s="69"/>
      <c r="BA541" s="69"/>
      <c r="BB541" s="69"/>
      <c r="BC541" s="69"/>
      <c r="BD541" s="69"/>
      <c r="BE541" s="69"/>
      <c r="BF541" s="69"/>
      <c r="BG541" s="69"/>
      <c r="BH541" s="69"/>
      <c r="BI541" s="69"/>
      <c r="BJ541" s="69"/>
      <c r="BK541" s="69"/>
      <c r="BL541" s="69"/>
      <c r="BM541" s="69"/>
      <c r="BN541" s="69"/>
      <c r="BO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  <c r="AY542" s="69"/>
      <c r="AZ542" s="69"/>
      <c r="BA542" s="69"/>
      <c r="BB542" s="69"/>
      <c r="BC542" s="69"/>
      <c r="BD542" s="69"/>
      <c r="BE542" s="69"/>
      <c r="BF542" s="69"/>
      <c r="BG542" s="69"/>
      <c r="BH542" s="69"/>
      <c r="BI542" s="69"/>
      <c r="BJ542" s="69"/>
      <c r="BK542" s="69"/>
      <c r="BL542" s="69"/>
      <c r="BM542" s="69"/>
      <c r="BN542" s="69"/>
      <c r="BO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  <c r="AY543" s="69"/>
      <c r="AZ543" s="69"/>
      <c r="BA543" s="69"/>
      <c r="BB543" s="69"/>
      <c r="BC543" s="69"/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  <c r="AY544" s="69"/>
      <c r="AZ544" s="69"/>
      <c r="BA544" s="69"/>
      <c r="BB544" s="69"/>
      <c r="BC544" s="69"/>
      <c r="BD544" s="69"/>
      <c r="BE544" s="69"/>
      <c r="BF544" s="69"/>
      <c r="BG544" s="69"/>
      <c r="BH544" s="69"/>
      <c r="BI544" s="69"/>
      <c r="BJ544" s="69"/>
      <c r="BK544" s="69"/>
      <c r="BL544" s="69"/>
      <c r="BM544" s="69"/>
      <c r="BN544" s="69"/>
      <c r="BO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  <c r="AY545" s="69"/>
      <c r="AZ545" s="69"/>
      <c r="BA545" s="69"/>
      <c r="BB545" s="69"/>
      <c r="BC545" s="69"/>
      <c r="BD545" s="69"/>
      <c r="BE545" s="69"/>
      <c r="BF545" s="69"/>
      <c r="BG545" s="69"/>
      <c r="BH545" s="69"/>
      <c r="BI545" s="69"/>
      <c r="BJ545" s="69"/>
      <c r="BK545" s="69"/>
      <c r="BL545" s="69"/>
      <c r="BM545" s="69"/>
      <c r="BN545" s="69"/>
      <c r="BO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  <c r="AY546" s="69"/>
      <c r="AZ546" s="69"/>
      <c r="BA546" s="69"/>
      <c r="BB546" s="69"/>
      <c r="BC546" s="69"/>
      <c r="BD546" s="69"/>
      <c r="BE546" s="69"/>
      <c r="BF546" s="69"/>
      <c r="BG546" s="69"/>
      <c r="BH546" s="69"/>
      <c r="BI546" s="69"/>
      <c r="BJ546" s="69"/>
      <c r="BK546" s="69"/>
      <c r="BL546" s="69"/>
      <c r="BM546" s="69"/>
      <c r="BN546" s="69"/>
      <c r="BO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  <c r="AY547" s="69"/>
      <c r="AZ547" s="69"/>
      <c r="BA547" s="69"/>
      <c r="BB547" s="69"/>
      <c r="BC547" s="69"/>
      <c r="BD547" s="69"/>
      <c r="BE547" s="69"/>
      <c r="BF547" s="69"/>
      <c r="BG547" s="69"/>
      <c r="BH547" s="69"/>
      <c r="BI547" s="69"/>
      <c r="BJ547" s="69"/>
      <c r="BK547" s="69"/>
      <c r="BL547" s="69"/>
      <c r="BM547" s="69"/>
      <c r="BN547" s="69"/>
      <c r="BO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  <c r="AY548" s="69"/>
      <c r="AZ548" s="69"/>
      <c r="BA548" s="69"/>
      <c r="BB548" s="69"/>
      <c r="BC548" s="69"/>
      <c r="BD548" s="69"/>
      <c r="BE548" s="69"/>
      <c r="BF548" s="69"/>
      <c r="BG548" s="69"/>
      <c r="BH548" s="69"/>
      <c r="BI548" s="69"/>
      <c r="BJ548" s="69"/>
      <c r="BK548" s="69"/>
      <c r="BL548" s="69"/>
      <c r="BM548" s="69"/>
      <c r="BN548" s="69"/>
      <c r="BO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  <c r="AY549" s="69"/>
      <c r="AZ549" s="69"/>
      <c r="BA549" s="69"/>
      <c r="BB549" s="69"/>
      <c r="BC549" s="69"/>
      <c r="BD549" s="69"/>
      <c r="BE549" s="69"/>
      <c r="BF549" s="69"/>
      <c r="BG549" s="69"/>
      <c r="BH549" s="69"/>
      <c r="BI549" s="69"/>
      <c r="BJ549" s="69"/>
      <c r="BK549" s="69"/>
      <c r="BL549" s="69"/>
      <c r="BM549" s="69"/>
      <c r="BN549" s="69"/>
      <c r="BO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  <c r="AY550" s="69"/>
      <c r="AZ550" s="69"/>
      <c r="BA550" s="69"/>
      <c r="BB550" s="69"/>
      <c r="BC550" s="69"/>
      <c r="BD550" s="69"/>
      <c r="BE550" s="69"/>
      <c r="BF550" s="69"/>
      <c r="BG550" s="69"/>
      <c r="BH550" s="69"/>
      <c r="BI550" s="69"/>
      <c r="BJ550" s="69"/>
      <c r="BK550" s="69"/>
      <c r="BL550" s="69"/>
      <c r="BM550" s="69"/>
      <c r="BN550" s="69"/>
      <c r="BO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  <c r="AY551" s="69"/>
      <c r="AZ551" s="69"/>
      <c r="BA551" s="69"/>
      <c r="BB551" s="69"/>
      <c r="BC551" s="69"/>
      <c r="BD551" s="69"/>
      <c r="BE551" s="69"/>
      <c r="BF551" s="69"/>
      <c r="BG551" s="69"/>
      <c r="BH551" s="69"/>
      <c r="BI551" s="69"/>
      <c r="BJ551" s="69"/>
      <c r="BK551" s="69"/>
      <c r="BL551" s="69"/>
      <c r="BM551" s="69"/>
      <c r="BN551" s="69"/>
      <c r="BO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  <c r="AY552" s="69"/>
      <c r="AZ552" s="69"/>
      <c r="BA552" s="69"/>
      <c r="BB552" s="69"/>
      <c r="BC552" s="69"/>
      <c r="BD552" s="69"/>
      <c r="BE552" s="69"/>
      <c r="BF552" s="69"/>
      <c r="BG552" s="69"/>
      <c r="BH552" s="69"/>
      <c r="BI552" s="69"/>
      <c r="BJ552" s="69"/>
      <c r="BK552" s="69"/>
      <c r="BL552" s="69"/>
      <c r="BM552" s="69"/>
      <c r="BN552" s="69"/>
      <c r="BO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  <c r="AY553" s="69"/>
      <c r="AZ553" s="69"/>
      <c r="BA553" s="69"/>
      <c r="BB553" s="69"/>
      <c r="BC553" s="69"/>
      <c r="BD553" s="69"/>
      <c r="BE553" s="69"/>
      <c r="BF553" s="69"/>
      <c r="BG553" s="69"/>
      <c r="BH553" s="69"/>
      <c r="BI553" s="69"/>
      <c r="BJ553" s="69"/>
      <c r="BK553" s="69"/>
      <c r="BL553" s="69"/>
      <c r="BM553" s="69"/>
      <c r="BN553" s="69"/>
      <c r="BO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  <c r="AY554" s="69"/>
      <c r="AZ554" s="69"/>
      <c r="BA554" s="69"/>
      <c r="BB554" s="69"/>
      <c r="BC554" s="69"/>
      <c r="BD554" s="69"/>
      <c r="BE554" s="69"/>
      <c r="BF554" s="69"/>
      <c r="BG554" s="69"/>
      <c r="BH554" s="69"/>
      <c r="BI554" s="69"/>
      <c r="BJ554" s="69"/>
      <c r="BK554" s="69"/>
      <c r="BL554" s="69"/>
      <c r="BM554" s="69"/>
      <c r="BN554" s="69"/>
      <c r="BO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  <c r="AY555" s="69"/>
      <c r="AZ555" s="69"/>
      <c r="BA555" s="69"/>
      <c r="BB555" s="69"/>
      <c r="BC555" s="69"/>
      <c r="BD555" s="69"/>
      <c r="BE555" s="69"/>
      <c r="BF555" s="69"/>
      <c r="BG555" s="69"/>
      <c r="BH555" s="69"/>
      <c r="BI555" s="69"/>
      <c r="BJ555" s="69"/>
      <c r="BK555" s="69"/>
      <c r="BL555" s="69"/>
      <c r="BM555" s="69"/>
      <c r="BN555" s="69"/>
      <c r="BO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  <c r="AY556" s="69"/>
      <c r="AZ556" s="69"/>
      <c r="BA556" s="69"/>
      <c r="BB556" s="69"/>
      <c r="BC556" s="69"/>
      <c r="BD556" s="69"/>
      <c r="BE556" s="69"/>
      <c r="BF556" s="69"/>
      <c r="BG556" s="69"/>
      <c r="BH556" s="69"/>
      <c r="BI556" s="69"/>
      <c r="BJ556" s="69"/>
      <c r="BK556" s="69"/>
      <c r="BL556" s="69"/>
      <c r="BM556" s="69"/>
      <c r="BN556" s="69"/>
      <c r="BO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  <c r="AY557" s="69"/>
      <c r="AZ557" s="69"/>
      <c r="BA557" s="69"/>
      <c r="BB557" s="69"/>
      <c r="BC557" s="69"/>
      <c r="BD557" s="69"/>
      <c r="BE557" s="69"/>
      <c r="BF557" s="69"/>
      <c r="BG557" s="69"/>
      <c r="BH557" s="69"/>
      <c r="BI557" s="69"/>
      <c r="BJ557" s="69"/>
      <c r="BK557" s="69"/>
      <c r="BL557" s="69"/>
      <c r="BM557" s="69"/>
      <c r="BN557" s="69"/>
      <c r="BO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  <c r="AY558" s="69"/>
      <c r="AZ558" s="69"/>
      <c r="BA558" s="69"/>
      <c r="BB558" s="69"/>
      <c r="BC558" s="69"/>
      <c r="BD558" s="69"/>
      <c r="BE558" s="69"/>
      <c r="BF558" s="69"/>
      <c r="BG558" s="69"/>
      <c r="BH558" s="69"/>
      <c r="BI558" s="69"/>
      <c r="BJ558" s="69"/>
      <c r="BK558" s="69"/>
      <c r="BL558" s="69"/>
      <c r="BM558" s="69"/>
      <c r="BN558" s="69"/>
      <c r="BO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  <c r="AY559" s="69"/>
      <c r="AZ559" s="69"/>
      <c r="BA559" s="69"/>
      <c r="BB559" s="69"/>
      <c r="BC559" s="69"/>
      <c r="BD559" s="69"/>
      <c r="BE559" s="69"/>
      <c r="BF559" s="69"/>
      <c r="BG559" s="69"/>
      <c r="BH559" s="69"/>
      <c r="BI559" s="69"/>
      <c r="BJ559" s="69"/>
      <c r="BK559" s="69"/>
      <c r="BL559" s="69"/>
      <c r="BM559" s="69"/>
      <c r="BN559" s="69"/>
      <c r="BO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  <c r="AY560" s="69"/>
      <c r="AZ560" s="69"/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  <c r="AY561" s="69"/>
      <c r="AZ561" s="69"/>
      <c r="BA561" s="69"/>
      <c r="BB561" s="69"/>
      <c r="BC561" s="69"/>
      <c r="BD561" s="69"/>
      <c r="BE561" s="69"/>
      <c r="BF561" s="69"/>
      <c r="BG561" s="69"/>
      <c r="BH561" s="69"/>
      <c r="BI561" s="69"/>
      <c r="BJ561" s="69"/>
      <c r="BK561" s="69"/>
      <c r="BL561" s="69"/>
      <c r="BM561" s="69"/>
      <c r="BN561" s="69"/>
      <c r="BO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  <c r="AY562" s="69"/>
      <c r="AZ562" s="69"/>
      <c r="BA562" s="69"/>
      <c r="BB562" s="69"/>
      <c r="BC562" s="69"/>
      <c r="BD562" s="69"/>
      <c r="BE562" s="69"/>
      <c r="BF562" s="69"/>
      <c r="BG562" s="69"/>
      <c r="BH562" s="69"/>
      <c r="BI562" s="69"/>
      <c r="BJ562" s="69"/>
      <c r="BK562" s="69"/>
      <c r="BL562" s="69"/>
      <c r="BM562" s="69"/>
      <c r="BN562" s="69"/>
      <c r="BO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69"/>
      <c r="BH563" s="69"/>
      <c r="BI563" s="69"/>
      <c r="BJ563" s="69"/>
      <c r="BK563" s="69"/>
      <c r="BL563" s="69"/>
      <c r="BM563" s="69"/>
      <c r="BN563" s="69"/>
      <c r="BO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  <c r="AY564" s="69"/>
      <c r="AZ564" s="69"/>
      <c r="BA564" s="69"/>
      <c r="BB564" s="69"/>
      <c r="BC564" s="69"/>
      <c r="BD564" s="69"/>
      <c r="BE564" s="69"/>
      <c r="BF564" s="69"/>
      <c r="BG564" s="69"/>
      <c r="BH564" s="69"/>
      <c r="BI564" s="69"/>
      <c r="BJ564" s="69"/>
      <c r="BK564" s="69"/>
      <c r="BL564" s="69"/>
      <c r="BM564" s="69"/>
      <c r="BN564" s="69"/>
      <c r="BO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  <c r="AY565" s="69"/>
      <c r="AZ565" s="69"/>
      <c r="BA565" s="69"/>
      <c r="BB565" s="69"/>
      <c r="BC565" s="69"/>
      <c r="BD565" s="69"/>
      <c r="BE565" s="69"/>
      <c r="BF565" s="69"/>
      <c r="BG565" s="69"/>
      <c r="BH565" s="69"/>
      <c r="BI565" s="69"/>
      <c r="BJ565" s="69"/>
      <c r="BK565" s="69"/>
      <c r="BL565" s="69"/>
      <c r="BM565" s="69"/>
      <c r="BN565" s="69"/>
      <c r="BO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  <c r="AY566" s="69"/>
      <c r="AZ566" s="69"/>
      <c r="BA566" s="69"/>
      <c r="BB566" s="69"/>
      <c r="BC566" s="69"/>
      <c r="BD566" s="69"/>
      <c r="BE566" s="69"/>
      <c r="BF566" s="69"/>
      <c r="BG566" s="69"/>
      <c r="BH566" s="69"/>
      <c r="BI566" s="69"/>
      <c r="BJ566" s="69"/>
      <c r="BK566" s="69"/>
      <c r="BL566" s="69"/>
      <c r="BM566" s="69"/>
      <c r="BN566" s="69"/>
      <c r="BO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  <c r="AY567" s="69"/>
      <c r="AZ567" s="69"/>
      <c r="BA567" s="69"/>
      <c r="BB567" s="69"/>
      <c r="BC567" s="69"/>
      <c r="BD567" s="69"/>
      <c r="BE567" s="69"/>
      <c r="BF567" s="69"/>
      <c r="BG567" s="69"/>
      <c r="BH567" s="69"/>
      <c r="BI567" s="69"/>
      <c r="BJ567" s="69"/>
      <c r="BK567" s="69"/>
      <c r="BL567" s="69"/>
      <c r="BM567" s="69"/>
      <c r="BN567" s="69"/>
      <c r="BO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  <c r="AY568" s="69"/>
      <c r="AZ568" s="69"/>
      <c r="BA568" s="69"/>
      <c r="BB568" s="69"/>
      <c r="BC568" s="69"/>
      <c r="BD568" s="69"/>
      <c r="BE568" s="69"/>
      <c r="BF568" s="69"/>
      <c r="BG568" s="69"/>
      <c r="BH568" s="69"/>
      <c r="BI568" s="69"/>
      <c r="BJ568" s="69"/>
      <c r="BK568" s="69"/>
      <c r="BL568" s="69"/>
      <c r="BM568" s="69"/>
      <c r="BN568" s="69"/>
      <c r="BO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  <c r="AY569" s="69"/>
      <c r="AZ569" s="69"/>
      <c r="BA569" s="69"/>
      <c r="BB569" s="69"/>
      <c r="BC569" s="69"/>
      <c r="BD569" s="69"/>
      <c r="BE569" s="69"/>
      <c r="BF569" s="69"/>
      <c r="BG569" s="69"/>
      <c r="BH569" s="69"/>
      <c r="BI569" s="69"/>
      <c r="BJ569" s="69"/>
      <c r="BK569" s="69"/>
      <c r="BL569" s="69"/>
      <c r="BM569" s="69"/>
      <c r="BN569" s="69"/>
      <c r="BO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  <c r="AY570" s="69"/>
      <c r="AZ570" s="69"/>
      <c r="BA570" s="69"/>
      <c r="BB570" s="69"/>
      <c r="BC570" s="69"/>
      <c r="BD570" s="69"/>
      <c r="BE570" s="69"/>
      <c r="BF570" s="69"/>
      <c r="BG570" s="69"/>
      <c r="BH570" s="69"/>
      <c r="BI570" s="69"/>
      <c r="BJ570" s="69"/>
      <c r="BK570" s="69"/>
      <c r="BL570" s="69"/>
      <c r="BM570" s="69"/>
      <c r="BN570" s="69"/>
      <c r="BO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  <c r="AY571" s="69"/>
      <c r="AZ571" s="69"/>
      <c r="BA571" s="69"/>
      <c r="BB571" s="69"/>
      <c r="BC571" s="69"/>
      <c r="BD571" s="69"/>
      <c r="BE571" s="69"/>
      <c r="BF571" s="69"/>
      <c r="BG571" s="69"/>
      <c r="BH571" s="69"/>
      <c r="BI571" s="69"/>
      <c r="BJ571" s="69"/>
      <c r="BK571" s="69"/>
      <c r="BL571" s="69"/>
      <c r="BM571" s="69"/>
      <c r="BN571" s="69"/>
      <c r="BO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  <c r="AY572" s="69"/>
      <c r="AZ572" s="69"/>
      <c r="BA572" s="69"/>
      <c r="BB572" s="69"/>
      <c r="BC572" s="69"/>
      <c r="BD572" s="69"/>
      <c r="BE572" s="69"/>
      <c r="BF572" s="69"/>
      <c r="BG572" s="69"/>
      <c r="BH572" s="69"/>
      <c r="BI572" s="69"/>
      <c r="BJ572" s="69"/>
      <c r="BK572" s="69"/>
      <c r="BL572" s="69"/>
      <c r="BM572" s="69"/>
      <c r="BN572" s="69"/>
      <c r="BO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  <c r="AY573" s="69"/>
      <c r="AZ573" s="69"/>
      <c r="BA573" s="69"/>
      <c r="BB573" s="69"/>
      <c r="BC573" s="69"/>
      <c r="BD573" s="69"/>
      <c r="BE573" s="69"/>
      <c r="BF573" s="69"/>
      <c r="BG573" s="69"/>
      <c r="BH573" s="69"/>
      <c r="BI573" s="69"/>
      <c r="BJ573" s="69"/>
      <c r="BK573" s="69"/>
      <c r="BL573" s="69"/>
      <c r="BM573" s="69"/>
      <c r="BN573" s="69"/>
      <c r="BO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  <c r="AY574" s="69"/>
      <c r="AZ574" s="69"/>
      <c r="BA574" s="69"/>
      <c r="BB574" s="69"/>
      <c r="BC574" s="69"/>
      <c r="BD574" s="69"/>
      <c r="BE574" s="69"/>
      <c r="BF574" s="69"/>
      <c r="BG574" s="69"/>
      <c r="BH574" s="69"/>
      <c r="BI574" s="69"/>
      <c r="BJ574" s="69"/>
      <c r="BK574" s="69"/>
      <c r="BL574" s="69"/>
      <c r="BM574" s="69"/>
      <c r="BN574" s="69"/>
      <c r="BO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  <c r="AY575" s="69"/>
      <c r="AZ575" s="69"/>
      <c r="BA575" s="69"/>
      <c r="BB575" s="69"/>
      <c r="BC575" s="69"/>
      <c r="BD575" s="69"/>
      <c r="BE575" s="69"/>
      <c r="BF575" s="69"/>
      <c r="BG575" s="69"/>
      <c r="BH575" s="69"/>
      <c r="BI575" s="69"/>
      <c r="BJ575" s="69"/>
      <c r="BK575" s="69"/>
      <c r="BL575" s="69"/>
      <c r="BM575" s="69"/>
      <c r="BN575" s="69"/>
      <c r="BO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  <c r="AY576" s="69"/>
      <c r="AZ576" s="69"/>
      <c r="BA576" s="69"/>
      <c r="BB576" s="69"/>
      <c r="BC576" s="69"/>
      <c r="BD576" s="69"/>
      <c r="BE576" s="69"/>
      <c r="BF576" s="69"/>
      <c r="BG576" s="69"/>
      <c r="BH576" s="69"/>
      <c r="BI576" s="69"/>
      <c r="BJ576" s="69"/>
      <c r="BK576" s="69"/>
      <c r="BL576" s="69"/>
      <c r="BM576" s="69"/>
      <c r="BN576" s="69"/>
      <c r="BO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  <c r="AY577" s="69"/>
      <c r="AZ577" s="69"/>
      <c r="BA577" s="69"/>
      <c r="BB577" s="69"/>
      <c r="BC577" s="69"/>
      <c r="BD577" s="69"/>
      <c r="BE577" s="69"/>
      <c r="BF577" s="69"/>
      <c r="BG577" s="69"/>
      <c r="BH577" s="69"/>
      <c r="BI577" s="69"/>
      <c r="BJ577" s="69"/>
      <c r="BK577" s="69"/>
      <c r="BL577" s="69"/>
      <c r="BM577" s="69"/>
      <c r="BN577" s="69"/>
      <c r="BO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  <c r="AY578" s="69"/>
      <c r="AZ578" s="69"/>
      <c r="BA578" s="69"/>
      <c r="BB578" s="69"/>
      <c r="BC578" s="69"/>
      <c r="BD578" s="69"/>
      <c r="BE578" s="69"/>
      <c r="BF578" s="69"/>
      <c r="BG578" s="69"/>
      <c r="BH578" s="69"/>
      <c r="BI578" s="69"/>
      <c r="BJ578" s="69"/>
      <c r="BK578" s="69"/>
      <c r="BL578" s="69"/>
      <c r="BM578" s="69"/>
      <c r="BN578" s="69"/>
      <c r="BO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  <c r="AY579" s="69"/>
      <c r="AZ579" s="69"/>
      <c r="BA579" s="69"/>
      <c r="BB579" s="69"/>
      <c r="BC579" s="69"/>
      <c r="BD579" s="69"/>
      <c r="BE579" s="69"/>
      <c r="BF579" s="69"/>
      <c r="BG579" s="69"/>
      <c r="BH579" s="69"/>
      <c r="BI579" s="69"/>
      <c r="BJ579" s="69"/>
      <c r="BK579" s="69"/>
      <c r="BL579" s="69"/>
      <c r="BM579" s="69"/>
      <c r="BN579" s="69"/>
      <c r="BO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  <c r="AY580" s="69"/>
      <c r="AZ580" s="69"/>
      <c r="BA580" s="69"/>
      <c r="BB580" s="69"/>
      <c r="BC580" s="69"/>
      <c r="BD580" s="69"/>
      <c r="BE580" s="69"/>
      <c r="BF580" s="69"/>
      <c r="BG580" s="69"/>
      <c r="BH580" s="69"/>
      <c r="BI580" s="69"/>
      <c r="BJ580" s="69"/>
      <c r="BK580" s="69"/>
      <c r="BL580" s="69"/>
      <c r="BM580" s="69"/>
      <c r="BN580" s="69"/>
      <c r="BO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  <c r="AY581" s="69"/>
      <c r="AZ581" s="69"/>
      <c r="BA581" s="69"/>
      <c r="BB581" s="69"/>
      <c r="BC581" s="69"/>
      <c r="BD581" s="69"/>
      <c r="BE581" s="69"/>
      <c r="BF581" s="69"/>
      <c r="BG581" s="69"/>
      <c r="BH581" s="69"/>
      <c r="BI581" s="69"/>
      <c r="BJ581" s="69"/>
      <c r="BK581" s="69"/>
      <c r="BL581" s="69"/>
      <c r="BM581" s="69"/>
      <c r="BN581" s="69"/>
      <c r="BO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  <c r="AY582" s="69"/>
      <c r="AZ582" s="69"/>
      <c r="BA582" s="69"/>
      <c r="BB582" s="69"/>
      <c r="BC582" s="69"/>
      <c r="BD582" s="69"/>
      <c r="BE582" s="69"/>
      <c r="BF582" s="69"/>
      <c r="BG582" s="69"/>
      <c r="BH582" s="69"/>
      <c r="BI582" s="69"/>
      <c r="BJ582" s="69"/>
      <c r="BK582" s="69"/>
      <c r="BL582" s="69"/>
      <c r="BM582" s="69"/>
      <c r="BN582" s="69"/>
      <c r="BO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  <c r="AY583" s="69"/>
      <c r="AZ583" s="69"/>
      <c r="BA583" s="69"/>
      <c r="BB583" s="69"/>
      <c r="BC583" s="69"/>
      <c r="BD583" s="69"/>
      <c r="BE583" s="69"/>
      <c r="BF583" s="69"/>
      <c r="BG583" s="69"/>
      <c r="BH583" s="69"/>
      <c r="BI583" s="69"/>
      <c r="BJ583" s="69"/>
      <c r="BK583" s="69"/>
      <c r="BL583" s="69"/>
      <c r="BM583" s="69"/>
      <c r="BN583" s="69"/>
      <c r="BO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  <c r="AY584" s="69"/>
      <c r="AZ584" s="69"/>
      <c r="BA584" s="69"/>
      <c r="BB584" s="69"/>
      <c r="BC584" s="69"/>
      <c r="BD584" s="69"/>
      <c r="BE584" s="69"/>
      <c r="BF584" s="69"/>
      <c r="BG584" s="69"/>
      <c r="BH584" s="69"/>
      <c r="BI584" s="69"/>
      <c r="BJ584" s="69"/>
      <c r="BK584" s="69"/>
      <c r="BL584" s="69"/>
      <c r="BM584" s="69"/>
      <c r="BN584" s="69"/>
      <c r="BO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  <c r="AY585" s="69"/>
      <c r="AZ585" s="69"/>
      <c r="BA585" s="69"/>
      <c r="BB585" s="69"/>
      <c r="BC585" s="69"/>
      <c r="BD585" s="69"/>
      <c r="BE585" s="69"/>
      <c r="BF585" s="69"/>
      <c r="BG585" s="69"/>
      <c r="BH585" s="69"/>
      <c r="BI585" s="69"/>
      <c r="BJ585" s="69"/>
      <c r="BK585" s="69"/>
      <c r="BL585" s="69"/>
      <c r="BM585" s="69"/>
      <c r="BN585" s="69"/>
      <c r="BO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  <c r="AY586" s="69"/>
      <c r="AZ586" s="69"/>
      <c r="BA586" s="69"/>
      <c r="BB586" s="69"/>
      <c r="BC586" s="69"/>
      <c r="BD586" s="69"/>
      <c r="BE586" s="69"/>
      <c r="BF586" s="69"/>
      <c r="BG586" s="69"/>
      <c r="BH586" s="69"/>
      <c r="BI586" s="69"/>
      <c r="BJ586" s="69"/>
      <c r="BK586" s="69"/>
      <c r="BL586" s="69"/>
      <c r="BM586" s="69"/>
      <c r="BN586" s="69"/>
      <c r="BO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  <c r="AY587" s="69"/>
      <c r="AZ587" s="69"/>
      <c r="BA587" s="69"/>
      <c r="BB587" s="69"/>
      <c r="BC587" s="69"/>
      <c r="BD587" s="69"/>
      <c r="BE587" s="69"/>
      <c r="BF587" s="69"/>
      <c r="BG587" s="69"/>
      <c r="BH587" s="69"/>
      <c r="BI587" s="69"/>
      <c r="BJ587" s="69"/>
      <c r="BK587" s="69"/>
      <c r="BL587" s="69"/>
      <c r="BM587" s="69"/>
      <c r="BN587" s="69"/>
      <c r="BO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  <c r="AY588" s="69"/>
      <c r="AZ588" s="69"/>
      <c r="BA588" s="69"/>
      <c r="BB588" s="69"/>
      <c r="BC588" s="69"/>
      <c r="BD588" s="69"/>
      <c r="BE588" s="69"/>
      <c r="BF588" s="69"/>
      <c r="BG588" s="69"/>
      <c r="BH588" s="69"/>
      <c r="BI588" s="69"/>
      <c r="BJ588" s="69"/>
      <c r="BK588" s="69"/>
      <c r="BL588" s="69"/>
      <c r="BM588" s="69"/>
      <c r="BN588" s="69"/>
      <c r="BO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  <c r="AY589" s="69"/>
      <c r="AZ589" s="69"/>
      <c r="BA589" s="69"/>
      <c r="BB589" s="69"/>
      <c r="BC589" s="69"/>
      <c r="BD589" s="69"/>
      <c r="BE589" s="69"/>
      <c r="BF589" s="69"/>
      <c r="BG589" s="69"/>
      <c r="BH589" s="69"/>
      <c r="BI589" s="69"/>
      <c r="BJ589" s="69"/>
      <c r="BK589" s="69"/>
      <c r="BL589" s="69"/>
      <c r="BM589" s="69"/>
      <c r="BN589" s="69"/>
      <c r="BO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  <c r="AY590" s="69"/>
      <c r="AZ590" s="69"/>
      <c r="BA590" s="69"/>
      <c r="BB590" s="69"/>
      <c r="BC590" s="69"/>
      <c r="BD590" s="69"/>
      <c r="BE590" s="69"/>
      <c r="BF590" s="69"/>
      <c r="BG590" s="69"/>
      <c r="BH590" s="69"/>
      <c r="BI590" s="69"/>
      <c r="BJ590" s="69"/>
      <c r="BK590" s="69"/>
      <c r="BL590" s="69"/>
      <c r="BM590" s="69"/>
      <c r="BN590" s="69"/>
      <c r="BO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  <c r="AY591" s="69"/>
      <c r="AZ591" s="69"/>
      <c r="BA591" s="69"/>
      <c r="BB591" s="69"/>
      <c r="BC591" s="69"/>
      <c r="BD591" s="69"/>
      <c r="BE591" s="69"/>
      <c r="BF591" s="69"/>
      <c r="BG591" s="69"/>
      <c r="BH591" s="69"/>
      <c r="BI591" s="69"/>
      <c r="BJ591" s="69"/>
      <c r="BK591" s="69"/>
      <c r="BL591" s="69"/>
      <c r="BM591" s="69"/>
      <c r="BN591" s="69"/>
      <c r="BO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  <c r="AY592" s="69"/>
      <c r="AZ592" s="69"/>
      <c r="BA592" s="69"/>
      <c r="BB592" s="69"/>
      <c r="BC592" s="69"/>
      <c r="BD592" s="69"/>
      <c r="BE592" s="69"/>
      <c r="BF592" s="69"/>
      <c r="BG592" s="69"/>
      <c r="BH592" s="69"/>
      <c r="BI592" s="69"/>
      <c r="BJ592" s="69"/>
      <c r="BK592" s="69"/>
      <c r="BL592" s="69"/>
      <c r="BM592" s="69"/>
      <c r="BN592" s="69"/>
      <c r="BO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  <c r="AY593" s="69"/>
      <c r="AZ593" s="69"/>
      <c r="BA593" s="69"/>
      <c r="BB593" s="69"/>
      <c r="BC593" s="69"/>
      <c r="BD593" s="69"/>
      <c r="BE593" s="69"/>
      <c r="BF593" s="69"/>
      <c r="BG593" s="69"/>
      <c r="BH593" s="69"/>
      <c r="BI593" s="69"/>
      <c r="BJ593" s="69"/>
      <c r="BK593" s="69"/>
      <c r="BL593" s="69"/>
      <c r="BM593" s="69"/>
      <c r="BN593" s="69"/>
      <c r="BO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  <c r="AY594" s="69"/>
      <c r="AZ594" s="69"/>
      <c r="BA594" s="69"/>
      <c r="BB594" s="69"/>
      <c r="BC594" s="69"/>
      <c r="BD594" s="69"/>
      <c r="BE594" s="69"/>
      <c r="BF594" s="69"/>
      <c r="BG594" s="69"/>
      <c r="BH594" s="69"/>
      <c r="BI594" s="69"/>
      <c r="BJ594" s="69"/>
      <c r="BK594" s="69"/>
      <c r="BL594" s="69"/>
      <c r="BM594" s="69"/>
      <c r="BN594" s="69"/>
      <c r="BO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  <c r="AY595" s="69"/>
      <c r="AZ595" s="69"/>
      <c r="BA595" s="69"/>
      <c r="BB595" s="69"/>
      <c r="BC595" s="69"/>
      <c r="BD595" s="69"/>
      <c r="BE595" s="69"/>
      <c r="BF595" s="69"/>
      <c r="BG595" s="69"/>
      <c r="BH595" s="69"/>
      <c r="BI595" s="69"/>
      <c r="BJ595" s="69"/>
      <c r="BK595" s="69"/>
      <c r="BL595" s="69"/>
      <c r="BM595" s="69"/>
      <c r="BN595" s="69"/>
      <c r="BO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  <c r="AY596" s="69"/>
      <c r="AZ596" s="69"/>
      <c r="BA596" s="69"/>
      <c r="BB596" s="69"/>
      <c r="BC596" s="69"/>
      <c r="BD596" s="69"/>
      <c r="BE596" s="69"/>
      <c r="BF596" s="69"/>
      <c r="BG596" s="69"/>
      <c r="BH596" s="69"/>
      <c r="BI596" s="69"/>
      <c r="BJ596" s="69"/>
      <c r="BK596" s="69"/>
      <c r="BL596" s="69"/>
      <c r="BM596" s="69"/>
      <c r="BN596" s="69"/>
      <c r="BO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  <c r="AY597" s="69"/>
      <c r="AZ597" s="69"/>
      <c r="BA597" s="69"/>
      <c r="BB597" s="69"/>
      <c r="BC597" s="69"/>
      <c r="BD597" s="69"/>
      <c r="BE597" s="69"/>
      <c r="BF597" s="69"/>
      <c r="BG597" s="69"/>
      <c r="BH597" s="69"/>
      <c r="BI597" s="69"/>
      <c r="BJ597" s="69"/>
      <c r="BK597" s="69"/>
      <c r="BL597" s="69"/>
      <c r="BM597" s="69"/>
      <c r="BN597" s="69"/>
      <c r="BO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  <c r="AY598" s="69"/>
      <c r="AZ598" s="69"/>
      <c r="BA598" s="69"/>
      <c r="BB598" s="69"/>
      <c r="BC598" s="69"/>
      <c r="BD598" s="69"/>
      <c r="BE598" s="69"/>
      <c r="BF598" s="69"/>
      <c r="BG598" s="69"/>
      <c r="BH598" s="69"/>
      <c r="BI598" s="69"/>
      <c r="BJ598" s="69"/>
      <c r="BK598" s="69"/>
      <c r="BL598" s="69"/>
      <c r="BM598" s="69"/>
      <c r="BN598" s="69"/>
      <c r="BO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  <c r="AY599" s="69"/>
      <c r="AZ599" s="69"/>
      <c r="BA599" s="69"/>
      <c r="BB599" s="69"/>
      <c r="BC599" s="69"/>
      <c r="BD599" s="69"/>
      <c r="BE599" s="69"/>
      <c r="BF599" s="69"/>
      <c r="BG599" s="69"/>
      <c r="BH599" s="69"/>
      <c r="BI599" s="69"/>
      <c r="BJ599" s="69"/>
      <c r="BK599" s="69"/>
      <c r="BL599" s="69"/>
      <c r="BM599" s="69"/>
      <c r="BN599" s="69"/>
      <c r="BO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  <c r="AY600" s="69"/>
      <c r="AZ600" s="69"/>
      <c r="BA600" s="69"/>
      <c r="BB600" s="69"/>
      <c r="BC600" s="69"/>
      <c r="BD600" s="69"/>
      <c r="BE600" s="69"/>
      <c r="BF600" s="69"/>
      <c r="BG600" s="69"/>
      <c r="BH600" s="69"/>
      <c r="BI600" s="69"/>
      <c r="BJ600" s="69"/>
      <c r="BK600" s="69"/>
      <c r="BL600" s="69"/>
      <c r="BM600" s="69"/>
      <c r="BN600" s="69"/>
      <c r="BO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  <c r="AY601" s="69"/>
      <c r="AZ601" s="69"/>
      <c r="BA601" s="69"/>
      <c r="BB601" s="69"/>
      <c r="BC601" s="69"/>
      <c r="BD601" s="69"/>
      <c r="BE601" s="69"/>
      <c r="BF601" s="69"/>
      <c r="BG601" s="69"/>
      <c r="BH601" s="69"/>
      <c r="BI601" s="69"/>
      <c r="BJ601" s="69"/>
      <c r="BK601" s="69"/>
      <c r="BL601" s="69"/>
      <c r="BM601" s="69"/>
      <c r="BN601" s="69"/>
      <c r="BO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  <c r="AY602" s="69"/>
      <c r="AZ602" s="69"/>
      <c r="BA602" s="69"/>
      <c r="BB602" s="69"/>
      <c r="BC602" s="69"/>
      <c r="BD602" s="69"/>
      <c r="BE602" s="69"/>
      <c r="BF602" s="69"/>
      <c r="BG602" s="69"/>
      <c r="BH602" s="69"/>
      <c r="BI602" s="69"/>
      <c r="BJ602" s="69"/>
      <c r="BK602" s="69"/>
      <c r="BL602" s="69"/>
      <c r="BM602" s="69"/>
      <c r="BN602" s="69"/>
      <c r="BO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69"/>
      <c r="BH603" s="69"/>
      <c r="BI603" s="69"/>
      <c r="BJ603" s="69"/>
      <c r="BK603" s="69"/>
      <c r="BL603" s="69"/>
      <c r="BM603" s="69"/>
      <c r="BN603" s="69"/>
      <c r="BO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  <c r="AY604" s="69"/>
      <c r="AZ604" s="69"/>
      <c r="BA604" s="69"/>
      <c r="BB604" s="69"/>
      <c r="BC604" s="69"/>
      <c r="BD604" s="69"/>
      <c r="BE604" s="69"/>
      <c r="BF604" s="69"/>
      <c r="BG604" s="69"/>
      <c r="BH604" s="69"/>
      <c r="BI604" s="69"/>
      <c r="BJ604" s="69"/>
      <c r="BK604" s="69"/>
      <c r="BL604" s="69"/>
      <c r="BM604" s="69"/>
      <c r="BN604" s="69"/>
      <c r="BO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  <c r="BC605" s="69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  <c r="AY606" s="69"/>
      <c r="AZ606" s="69"/>
      <c r="BA606" s="69"/>
      <c r="BB606" s="69"/>
      <c r="BC606" s="69"/>
      <c r="BD606" s="69"/>
      <c r="BE606" s="69"/>
      <c r="BF606" s="69"/>
      <c r="BG606" s="69"/>
      <c r="BH606" s="69"/>
      <c r="BI606" s="69"/>
      <c r="BJ606" s="69"/>
      <c r="BK606" s="69"/>
      <c r="BL606" s="69"/>
      <c r="BM606" s="69"/>
      <c r="BN606" s="69"/>
      <c r="BO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  <c r="AY607" s="69"/>
      <c r="AZ607" s="69"/>
      <c r="BA607" s="69"/>
      <c r="BB607" s="69"/>
      <c r="BC607" s="69"/>
      <c r="BD607" s="69"/>
      <c r="BE607" s="69"/>
      <c r="BF607" s="69"/>
      <c r="BG607" s="69"/>
      <c r="BH607" s="69"/>
      <c r="BI607" s="69"/>
      <c r="BJ607" s="69"/>
      <c r="BK607" s="69"/>
      <c r="BL607" s="69"/>
      <c r="BM607" s="69"/>
      <c r="BN607" s="69"/>
      <c r="BO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  <c r="AY608" s="69"/>
      <c r="AZ608" s="69"/>
      <c r="BA608" s="69"/>
      <c r="BB608" s="69"/>
      <c r="BC608" s="69"/>
      <c r="BD608" s="69"/>
      <c r="BE608" s="69"/>
      <c r="BF608" s="69"/>
      <c r="BG608" s="69"/>
      <c r="BH608" s="69"/>
      <c r="BI608" s="69"/>
      <c r="BJ608" s="69"/>
      <c r="BK608" s="69"/>
      <c r="BL608" s="69"/>
      <c r="BM608" s="69"/>
      <c r="BN608" s="69"/>
      <c r="BO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  <c r="AY609" s="69"/>
      <c r="AZ609" s="69"/>
      <c r="BA609" s="69"/>
      <c r="BB609" s="69"/>
      <c r="BC609" s="69"/>
      <c r="BD609" s="69"/>
      <c r="BE609" s="69"/>
      <c r="BF609" s="69"/>
      <c r="BG609" s="69"/>
      <c r="BH609" s="69"/>
      <c r="BI609" s="69"/>
      <c r="BJ609" s="69"/>
      <c r="BK609" s="69"/>
      <c r="BL609" s="69"/>
      <c r="BM609" s="69"/>
      <c r="BN609" s="69"/>
      <c r="BO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  <c r="AY610" s="69"/>
      <c r="AZ610" s="69"/>
      <c r="BA610" s="69"/>
      <c r="BB610" s="69"/>
      <c r="BC610" s="69"/>
      <c r="BD610" s="69"/>
      <c r="BE610" s="69"/>
      <c r="BF610" s="69"/>
      <c r="BG610" s="69"/>
      <c r="BH610" s="69"/>
      <c r="BI610" s="69"/>
      <c r="BJ610" s="69"/>
      <c r="BK610" s="69"/>
      <c r="BL610" s="69"/>
      <c r="BM610" s="69"/>
      <c r="BN610" s="69"/>
      <c r="BO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  <c r="AY611" s="69"/>
      <c r="AZ611" s="69"/>
      <c r="BA611" s="69"/>
      <c r="BB611" s="69"/>
      <c r="BC611" s="69"/>
      <c r="BD611" s="69"/>
      <c r="BE611" s="69"/>
      <c r="BF611" s="69"/>
      <c r="BG611" s="69"/>
      <c r="BH611" s="69"/>
      <c r="BI611" s="69"/>
      <c r="BJ611" s="69"/>
      <c r="BK611" s="69"/>
      <c r="BL611" s="69"/>
      <c r="BM611" s="69"/>
      <c r="BN611" s="69"/>
      <c r="BO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  <c r="AY612" s="69"/>
      <c r="AZ612" s="69"/>
      <c r="BA612" s="69"/>
      <c r="BB612" s="69"/>
      <c r="BC612" s="69"/>
      <c r="BD612" s="69"/>
      <c r="BE612" s="69"/>
      <c r="BF612" s="69"/>
      <c r="BG612" s="69"/>
      <c r="BH612" s="69"/>
      <c r="BI612" s="69"/>
      <c r="BJ612" s="69"/>
      <c r="BK612" s="69"/>
      <c r="BL612" s="69"/>
      <c r="BM612" s="69"/>
      <c r="BN612" s="69"/>
      <c r="BO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  <c r="AY613" s="69"/>
      <c r="AZ613" s="69"/>
      <c r="BA613" s="69"/>
      <c r="BB613" s="69"/>
      <c r="BC613" s="69"/>
      <c r="BD613" s="69"/>
      <c r="BE613" s="69"/>
      <c r="BF613" s="69"/>
      <c r="BG613" s="69"/>
      <c r="BH613" s="69"/>
      <c r="BI613" s="69"/>
      <c r="BJ613" s="69"/>
      <c r="BK613" s="69"/>
      <c r="BL613" s="69"/>
      <c r="BM613" s="69"/>
      <c r="BN613" s="69"/>
      <c r="BO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  <c r="AY614" s="69"/>
      <c r="AZ614" s="69"/>
      <c r="BA614" s="69"/>
      <c r="BB614" s="69"/>
      <c r="BC614" s="69"/>
      <c r="BD614" s="69"/>
      <c r="BE614" s="69"/>
      <c r="BF614" s="69"/>
      <c r="BG614" s="69"/>
      <c r="BH614" s="69"/>
      <c r="BI614" s="69"/>
      <c r="BJ614" s="69"/>
      <c r="BK614" s="69"/>
      <c r="BL614" s="69"/>
      <c r="BM614" s="69"/>
      <c r="BN614" s="69"/>
      <c r="BO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  <c r="AY615" s="69"/>
      <c r="AZ615" s="69"/>
      <c r="BA615" s="69"/>
      <c r="BB615" s="69"/>
      <c r="BC615" s="69"/>
      <c r="BD615" s="69"/>
      <c r="BE615" s="69"/>
      <c r="BF615" s="69"/>
      <c r="BG615" s="69"/>
      <c r="BH615" s="69"/>
      <c r="BI615" s="69"/>
      <c r="BJ615" s="69"/>
      <c r="BK615" s="69"/>
      <c r="BL615" s="69"/>
      <c r="BM615" s="69"/>
      <c r="BN615" s="69"/>
      <c r="BO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  <c r="AY616" s="69"/>
      <c r="AZ616" s="69"/>
      <c r="BA616" s="69"/>
      <c r="BB616" s="69"/>
      <c r="BC616" s="69"/>
      <c r="BD616" s="69"/>
      <c r="BE616" s="69"/>
      <c r="BF616" s="69"/>
      <c r="BG616" s="69"/>
      <c r="BH616" s="69"/>
      <c r="BI616" s="69"/>
      <c r="BJ616" s="69"/>
      <c r="BK616" s="69"/>
      <c r="BL616" s="69"/>
      <c r="BM616" s="69"/>
      <c r="BN616" s="69"/>
      <c r="BO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  <c r="AY617" s="69"/>
      <c r="AZ617" s="69"/>
      <c r="BA617" s="69"/>
      <c r="BB617" s="69"/>
      <c r="BC617" s="69"/>
      <c r="BD617" s="69"/>
      <c r="BE617" s="69"/>
      <c r="BF617" s="69"/>
      <c r="BG617" s="69"/>
      <c r="BH617" s="69"/>
      <c r="BI617" s="69"/>
      <c r="BJ617" s="69"/>
      <c r="BK617" s="69"/>
      <c r="BL617" s="69"/>
      <c r="BM617" s="69"/>
      <c r="BN617" s="69"/>
      <c r="BO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  <c r="AY618" s="69"/>
      <c r="AZ618" s="69"/>
      <c r="BA618" s="69"/>
      <c r="BB618" s="69"/>
      <c r="BC618" s="69"/>
      <c r="BD618" s="69"/>
      <c r="BE618" s="69"/>
      <c r="BF618" s="69"/>
      <c r="BG618" s="69"/>
      <c r="BH618" s="69"/>
      <c r="BI618" s="69"/>
      <c r="BJ618" s="69"/>
      <c r="BK618" s="69"/>
      <c r="BL618" s="69"/>
      <c r="BM618" s="69"/>
      <c r="BN618" s="69"/>
      <c r="BO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  <c r="AY619" s="69"/>
      <c r="AZ619" s="69"/>
      <c r="BA619" s="69"/>
      <c r="BB619" s="69"/>
      <c r="BC619" s="69"/>
      <c r="BD619" s="69"/>
      <c r="BE619" s="69"/>
      <c r="BF619" s="69"/>
      <c r="BG619" s="69"/>
      <c r="BH619" s="69"/>
      <c r="BI619" s="69"/>
      <c r="BJ619" s="69"/>
      <c r="BK619" s="69"/>
      <c r="BL619" s="69"/>
      <c r="BM619" s="69"/>
      <c r="BN619" s="69"/>
      <c r="BO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  <c r="AY620" s="69"/>
      <c r="AZ620" s="69"/>
      <c r="BA620" s="69"/>
      <c r="BB620" s="69"/>
      <c r="BC620" s="69"/>
      <c r="BD620" s="69"/>
      <c r="BE620" s="69"/>
      <c r="BF620" s="69"/>
      <c r="BG620" s="69"/>
      <c r="BH620" s="69"/>
      <c r="BI620" s="69"/>
      <c r="BJ620" s="69"/>
      <c r="BK620" s="69"/>
      <c r="BL620" s="69"/>
      <c r="BM620" s="69"/>
      <c r="BN620" s="69"/>
      <c r="BO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  <c r="AY621" s="69"/>
      <c r="AZ621" s="69"/>
      <c r="BA621" s="69"/>
      <c r="BB621" s="69"/>
      <c r="BC621" s="69"/>
      <c r="BD621" s="69"/>
      <c r="BE621" s="69"/>
      <c r="BF621" s="69"/>
      <c r="BG621" s="69"/>
      <c r="BH621" s="69"/>
      <c r="BI621" s="69"/>
      <c r="BJ621" s="69"/>
      <c r="BK621" s="69"/>
      <c r="BL621" s="69"/>
      <c r="BM621" s="69"/>
      <c r="BN621" s="69"/>
      <c r="BO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  <c r="AY622" s="69"/>
      <c r="AZ622" s="69"/>
      <c r="BA622" s="69"/>
      <c r="BB622" s="69"/>
      <c r="BC622" s="69"/>
      <c r="BD622" s="69"/>
      <c r="BE622" s="69"/>
      <c r="BF622" s="69"/>
      <c r="BG622" s="69"/>
      <c r="BH622" s="69"/>
      <c r="BI622" s="69"/>
      <c r="BJ622" s="69"/>
      <c r="BK622" s="69"/>
      <c r="BL622" s="69"/>
      <c r="BM622" s="69"/>
      <c r="BN622" s="69"/>
      <c r="BO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  <c r="AY623" s="69"/>
      <c r="AZ623" s="69"/>
      <c r="BA623" s="69"/>
      <c r="BB623" s="69"/>
      <c r="BC623" s="69"/>
      <c r="BD623" s="69"/>
      <c r="BE623" s="69"/>
      <c r="BF623" s="69"/>
      <c r="BG623" s="69"/>
      <c r="BH623" s="69"/>
      <c r="BI623" s="69"/>
      <c r="BJ623" s="69"/>
      <c r="BK623" s="69"/>
      <c r="BL623" s="69"/>
      <c r="BM623" s="69"/>
      <c r="BN623" s="69"/>
      <c r="BO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  <c r="AY624" s="69"/>
      <c r="AZ624" s="69"/>
      <c r="BA624" s="69"/>
      <c r="BB624" s="69"/>
      <c r="BC624" s="69"/>
      <c r="BD624" s="69"/>
      <c r="BE624" s="69"/>
      <c r="BF624" s="69"/>
      <c r="BG624" s="69"/>
      <c r="BH624" s="69"/>
      <c r="BI624" s="69"/>
      <c r="BJ624" s="69"/>
      <c r="BK624" s="69"/>
      <c r="BL624" s="69"/>
      <c r="BM624" s="69"/>
      <c r="BN624" s="69"/>
      <c r="BO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  <c r="AY625" s="69"/>
      <c r="AZ625" s="69"/>
      <c r="BA625" s="69"/>
      <c r="BB625" s="69"/>
      <c r="BC625" s="69"/>
      <c r="BD625" s="69"/>
      <c r="BE625" s="69"/>
      <c r="BF625" s="69"/>
      <c r="BG625" s="69"/>
      <c r="BH625" s="69"/>
      <c r="BI625" s="69"/>
      <c r="BJ625" s="69"/>
      <c r="BK625" s="69"/>
      <c r="BL625" s="69"/>
      <c r="BM625" s="69"/>
      <c r="BN625" s="69"/>
      <c r="BO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  <c r="AY626" s="69"/>
      <c r="AZ626" s="69"/>
      <c r="BA626" s="69"/>
      <c r="BB626" s="69"/>
      <c r="BC626" s="69"/>
      <c r="BD626" s="69"/>
      <c r="BE626" s="69"/>
      <c r="BF626" s="69"/>
      <c r="BG626" s="69"/>
      <c r="BH626" s="69"/>
      <c r="BI626" s="69"/>
      <c r="BJ626" s="69"/>
      <c r="BK626" s="69"/>
      <c r="BL626" s="69"/>
      <c r="BM626" s="69"/>
      <c r="BN626" s="69"/>
      <c r="BO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  <c r="AY627" s="69"/>
      <c r="AZ627" s="69"/>
      <c r="BA627" s="69"/>
      <c r="BB627" s="69"/>
      <c r="BC627" s="69"/>
      <c r="BD627" s="69"/>
      <c r="BE627" s="69"/>
      <c r="BF627" s="69"/>
      <c r="BG627" s="69"/>
      <c r="BH627" s="69"/>
      <c r="BI627" s="69"/>
      <c r="BJ627" s="69"/>
      <c r="BK627" s="69"/>
      <c r="BL627" s="69"/>
      <c r="BM627" s="69"/>
      <c r="BN627" s="69"/>
      <c r="BO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  <c r="AY628" s="69"/>
      <c r="AZ628" s="69"/>
      <c r="BA628" s="69"/>
      <c r="BB628" s="69"/>
      <c r="BC628" s="69"/>
      <c r="BD628" s="69"/>
      <c r="BE628" s="69"/>
      <c r="BF628" s="69"/>
      <c r="BG628" s="69"/>
      <c r="BH628" s="69"/>
      <c r="BI628" s="69"/>
      <c r="BJ628" s="69"/>
      <c r="BK628" s="69"/>
      <c r="BL628" s="69"/>
      <c r="BM628" s="69"/>
      <c r="BN628" s="69"/>
      <c r="BO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  <c r="AY629" s="69"/>
      <c r="AZ629" s="69"/>
      <c r="BA629" s="69"/>
      <c r="BB629" s="69"/>
      <c r="BC629" s="69"/>
      <c r="BD629" s="69"/>
      <c r="BE629" s="69"/>
      <c r="BF629" s="69"/>
      <c r="BG629" s="69"/>
      <c r="BH629" s="69"/>
      <c r="BI629" s="69"/>
      <c r="BJ629" s="69"/>
      <c r="BK629" s="69"/>
      <c r="BL629" s="69"/>
      <c r="BM629" s="69"/>
      <c r="BN629" s="69"/>
      <c r="BO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  <c r="AY630" s="69"/>
      <c r="AZ630" s="69"/>
      <c r="BA630" s="69"/>
      <c r="BB630" s="69"/>
      <c r="BC630" s="69"/>
      <c r="BD630" s="69"/>
      <c r="BE630" s="69"/>
      <c r="BF630" s="69"/>
      <c r="BG630" s="69"/>
      <c r="BH630" s="69"/>
      <c r="BI630" s="69"/>
      <c r="BJ630" s="69"/>
      <c r="BK630" s="69"/>
      <c r="BL630" s="69"/>
      <c r="BM630" s="69"/>
      <c r="BN630" s="69"/>
      <c r="BO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  <c r="AY631" s="69"/>
      <c r="AZ631" s="69"/>
      <c r="BA631" s="69"/>
      <c r="BB631" s="69"/>
      <c r="BC631" s="69"/>
      <c r="BD631" s="69"/>
      <c r="BE631" s="69"/>
      <c r="BF631" s="69"/>
      <c r="BG631" s="69"/>
      <c r="BH631" s="69"/>
      <c r="BI631" s="69"/>
      <c r="BJ631" s="69"/>
      <c r="BK631" s="69"/>
      <c r="BL631" s="69"/>
      <c r="BM631" s="69"/>
      <c r="BN631" s="69"/>
      <c r="BO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  <c r="AY632" s="69"/>
      <c r="AZ632" s="69"/>
      <c r="BA632" s="69"/>
      <c r="BB632" s="69"/>
      <c r="BC632" s="69"/>
      <c r="BD632" s="69"/>
      <c r="BE632" s="69"/>
      <c r="BF632" s="69"/>
      <c r="BG632" s="69"/>
      <c r="BH632" s="69"/>
      <c r="BI632" s="69"/>
      <c r="BJ632" s="69"/>
      <c r="BK632" s="69"/>
      <c r="BL632" s="69"/>
      <c r="BM632" s="69"/>
      <c r="BN632" s="69"/>
      <c r="BO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  <c r="AY633" s="69"/>
      <c r="AZ633" s="69"/>
      <c r="BA633" s="69"/>
      <c r="BB633" s="69"/>
      <c r="BC633" s="69"/>
      <c r="BD633" s="69"/>
      <c r="BE633" s="69"/>
      <c r="BF633" s="69"/>
      <c r="BG633" s="69"/>
      <c r="BH633" s="69"/>
      <c r="BI633" s="69"/>
      <c r="BJ633" s="69"/>
      <c r="BK633" s="69"/>
      <c r="BL633" s="69"/>
      <c r="BM633" s="69"/>
      <c r="BN633" s="69"/>
      <c r="BO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  <c r="AY634" s="69"/>
      <c r="AZ634" s="69"/>
      <c r="BA634" s="69"/>
      <c r="BB634" s="69"/>
      <c r="BC634" s="69"/>
      <c r="BD634" s="69"/>
      <c r="BE634" s="69"/>
      <c r="BF634" s="69"/>
      <c r="BG634" s="69"/>
      <c r="BH634" s="69"/>
      <c r="BI634" s="69"/>
      <c r="BJ634" s="69"/>
      <c r="BK634" s="69"/>
      <c r="BL634" s="69"/>
      <c r="BM634" s="69"/>
      <c r="BN634" s="69"/>
      <c r="BO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  <c r="AY635" s="69"/>
      <c r="AZ635" s="69"/>
      <c r="BA635" s="69"/>
      <c r="BB635" s="69"/>
      <c r="BC635" s="69"/>
      <c r="BD635" s="69"/>
      <c r="BE635" s="69"/>
      <c r="BF635" s="69"/>
      <c r="BG635" s="69"/>
      <c r="BH635" s="69"/>
      <c r="BI635" s="69"/>
      <c r="BJ635" s="69"/>
      <c r="BK635" s="69"/>
      <c r="BL635" s="69"/>
      <c r="BM635" s="69"/>
      <c r="BN635" s="69"/>
      <c r="BO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  <c r="AY636" s="69"/>
      <c r="AZ636" s="69"/>
      <c r="BA636" s="69"/>
      <c r="BB636" s="69"/>
      <c r="BC636" s="69"/>
      <c r="BD636" s="69"/>
      <c r="BE636" s="69"/>
      <c r="BF636" s="69"/>
      <c r="BG636" s="69"/>
      <c r="BH636" s="69"/>
      <c r="BI636" s="69"/>
      <c r="BJ636" s="69"/>
      <c r="BK636" s="69"/>
      <c r="BL636" s="69"/>
      <c r="BM636" s="69"/>
      <c r="BN636" s="69"/>
      <c r="BO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  <c r="AY637" s="69"/>
      <c r="AZ637" s="69"/>
      <c r="BA637" s="69"/>
      <c r="BB637" s="69"/>
      <c r="BC637" s="69"/>
      <c r="BD637" s="69"/>
      <c r="BE637" s="69"/>
      <c r="BF637" s="69"/>
      <c r="BG637" s="69"/>
      <c r="BH637" s="69"/>
      <c r="BI637" s="69"/>
      <c r="BJ637" s="69"/>
      <c r="BK637" s="69"/>
      <c r="BL637" s="69"/>
      <c r="BM637" s="69"/>
      <c r="BN637" s="69"/>
      <c r="BO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  <c r="AY638" s="69"/>
      <c r="AZ638" s="69"/>
      <c r="BA638" s="69"/>
      <c r="BB638" s="69"/>
      <c r="BC638" s="69"/>
      <c r="BD638" s="69"/>
      <c r="BE638" s="69"/>
      <c r="BF638" s="69"/>
      <c r="BG638" s="69"/>
      <c r="BH638" s="69"/>
      <c r="BI638" s="69"/>
      <c r="BJ638" s="69"/>
      <c r="BK638" s="69"/>
      <c r="BL638" s="69"/>
      <c r="BM638" s="69"/>
      <c r="BN638" s="69"/>
      <c r="BO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  <c r="AY639" s="69"/>
      <c r="AZ639" s="69"/>
      <c r="BA639" s="69"/>
      <c r="BB639" s="69"/>
      <c r="BC639" s="69"/>
      <c r="BD639" s="69"/>
      <c r="BE639" s="69"/>
      <c r="BF639" s="69"/>
      <c r="BG639" s="69"/>
      <c r="BH639" s="69"/>
      <c r="BI639" s="69"/>
      <c r="BJ639" s="69"/>
      <c r="BK639" s="69"/>
      <c r="BL639" s="69"/>
      <c r="BM639" s="69"/>
      <c r="BN639" s="69"/>
      <c r="BO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  <c r="AY640" s="69"/>
      <c r="AZ640" s="69"/>
      <c r="BA640" s="69"/>
      <c r="BB640" s="69"/>
      <c r="BC640" s="69"/>
      <c r="BD640" s="69"/>
      <c r="BE640" s="69"/>
      <c r="BF640" s="69"/>
      <c r="BG640" s="69"/>
      <c r="BH640" s="69"/>
      <c r="BI640" s="69"/>
      <c r="BJ640" s="69"/>
      <c r="BK640" s="69"/>
      <c r="BL640" s="69"/>
      <c r="BM640" s="69"/>
      <c r="BN640" s="69"/>
      <c r="BO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  <c r="AY641" s="69"/>
      <c r="AZ641" s="69"/>
      <c r="BA641" s="69"/>
      <c r="BB641" s="69"/>
      <c r="BC641" s="69"/>
      <c r="BD641" s="69"/>
      <c r="BE641" s="69"/>
      <c r="BF641" s="69"/>
      <c r="BG641" s="69"/>
      <c r="BH641" s="69"/>
      <c r="BI641" s="69"/>
      <c r="BJ641" s="69"/>
      <c r="BK641" s="69"/>
      <c r="BL641" s="69"/>
      <c r="BM641" s="69"/>
      <c r="BN641" s="69"/>
      <c r="BO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  <c r="AY642" s="69"/>
      <c r="AZ642" s="69"/>
      <c r="BA642" s="69"/>
      <c r="BB642" s="69"/>
      <c r="BC642" s="69"/>
      <c r="BD642" s="69"/>
      <c r="BE642" s="69"/>
      <c r="BF642" s="69"/>
      <c r="BG642" s="69"/>
      <c r="BH642" s="69"/>
      <c r="BI642" s="69"/>
      <c r="BJ642" s="69"/>
      <c r="BK642" s="69"/>
      <c r="BL642" s="69"/>
      <c r="BM642" s="69"/>
      <c r="BN642" s="69"/>
      <c r="BO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69"/>
      <c r="BH643" s="69"/>
      <c r="BI643" s="69"/>
      <c r="BJ643" s="69"/>
      <c r="BK643" s="69"/>
      <c r="BL643" s="69"/>
      <c r="BM643" s="69"/>
      <c r="BN643" s="69"/>
      <c r="BO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  <c r="AY644" s="69"/>
      <c r="AZ644" s="69"/>
      <c r="BA644" s="69"/>
      <c r="BB644" s="69"/>
      <c r="BC644" s="69"/>
      <c r="BD644" s="69"/>
      <c r="BE644" s="69"/>
      <c r="BF644" s="69"/>
      <c r="BG644" s="69"/>
      <c r="BH644" s="69"/>
      <c r="BI644" s="69"/>
      <c r="BJ644" s="69"/>
      <c r="BK644" s="69"/>
      <c r="BL644" s="69"/>
      <c r="BM644" s="69"/>
      <c r="BN644" s="69"/>
      <c r="BO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  <c r="AY645" s="69"/>
      <c r="AZ645" s="69"/>
      <c r="BA645" s="69"/>
      <c r="BB645" s="69"/>
      <c r="BC645" s="69"/>
      <c r="BD645" s="69"/>
      <c r="BE645" s="69"/>
      <c r="BF645" s="69"/>
      <c r="BG645" s="69"/>
      <c r="BH645" s="69"/>
      <c r="BI645" s="69"/>
      <c r="BJ645" s="69"/>
      <c r="BK645" s="69"/>
      <c r="BL645" s="69"/>
      <c r="BM645" s="69"/>
      <c r="BN645" s="69"/>
      <c r="BO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  <c r="AY646" s="69"/>
      <c r="AZ646" s="69"/>
      <c r="BA646" s="69"/>
      <c r="BB646" s="69"/>
      <c r="BC646" s="69"/>
      <c r="BD646" s="69"/>
      <c r="BE646" s="69"/>
      <c r="BF646" s="69"/>
      <c r="BG646" s="69"/>
      <c r="BH646" s="69"/>
      <c r="BI646" s="69"/>
      <c r="BJ646" s="69"/>
      <c r="BK646" s="69"/>
      <c r="BL646" s="69"/>
      <c r="BM646" s="69"/>
      <c r="BN646" s="69"/>
      <c r="BO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  <c r="AY647" s="69"/>
      <c r="AZ647" s="69"/>
      <c r="BA647" s="69"/>
      <c r="BB647" s="69"/>
      <c r="BC647" s="69"/>
      <c r="BD647" s="69"/>
      <c r="BE647" s="69"/>
      <c r="BF647" s="69"/>
      <c r="BG647" s="69"/>
      <c r="BH647" s="69"/>
      <c r="BI647" s="69"/>
      <c r="BJ647" s="69"/>
      <c r="BK647" s="69"/>
      <c r="BL647" s="69"/>
      <c r="BM647" s="69"/>
      <c r="BN647" s="69"/>
      <c r="BO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  <c r="AY648" s="69"/>
      <c r="AZ648" s="69"/>
      <c r="BA648" s="69"/>
      <c r="BB648" s="69"/>
      <c r="BC648" s="69"/>
      <c r="BD648" s="69"/>
      <c r="BE648" s="69"/>
      <c r="BF648" s="69"/>
      <c r="BG648" s="69"/>
      <c r="BH648" s="69"/>
      <c r="BI648" s="69"/>
      <c r="BJ648" s="69"/>
      <c r="BK648" s="69"/>
      <c r="BL648" s="69"/>
      <c r="BM648" s="69"/>
      <c r="BN648" s="69"/>
      <c r="BO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  <c r="AY649" s="69"/>
      <c r="AZ649" s="69"/>
      <c r="BA649" s="69"/>
      <c r="BB649" s="69"/>
      <c r="BC649" s="69"/>
      <c r="BD649" s="69"/>
      <c r="BE649" s="69"/>
      <c r="BF649" s="69"/>
      <c r="BG649" s="69"/>
      <c r="BH649" s="69"/>
      <c r="BI649" s="69"/>
      <c r="BJ649" s="69"/>
      <c r="BK649" s="69"/>
      <c r="BL649" s="69"/>
      <c r="BM649" s="69"/>
      <c r="BN649" s="69"/>
      <c r="BO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  <c r="AY650" s="69"/>
      <c r="AZ650" s="69"/>
      <c r="BA650" s="69"/>
      <c r="BB650" s="69"/>
      <c r="BC650" s="69"/>
      <c r="BD650" s="69"/>
      <c r="BE650" s="69"/>
      <c r="BF650" s="69"/>
      <c r="BG650" s="69"/>
      <c r="BH650" s="69"/>
      <c r="BI650" s="69"/>
      <c r="BJ650" s="69"/>
      <c r="BK650" s="69"/>
      <c r="BL650" s="69"/>
      <c r="BM650" s="69"/>
      <c r="BN650" s="69"/>
      <c r="BO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  <c r="AY651" s="69"/>
      <c r="AZ651" s="69"/>
      <c r="BA651" s="69"/>
      <c r="BB651" s="69"/>
      <c r="BC651" s="69"/>
      <c r="BD651" s="69"/>
      <c r="BE651" s="69"/>
      <c r="BF651" s="69"/>
      <c r="BG651" s="69"/>
      <c r="BH651" s="69"/>
      <c r="BI651" s="69"/>
      <c r="BJ651" s="69"/>
      <c r="BK651" s="69"/>
      <c r="BL651" s="69"/>
      <c r="BM651" s="69"/>
      <c r="BN651" s="69"/>
      <c r="BO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  <c r="AY652" s="69"/>
      <c r="AZ652" s="69"/>
      <c r="BA652" s="69"/>
      <c r="BB652" s="69"/>
      <c r="BC652" s="69"/>
      <c r="BD652" s="69"/>
      <c r="BE652" s="69"/>
      <c r="BF652" s="69"/>
      <c r="BG652" s="69"/>
      <c r="BH652" s="69"/>
      <c r="BI652" s="69"/>
      <c r="BJ652" s="69"/>
      <c r="BK652" s="69"/>
      <c r="BL652" s="69"/>
      <c r="BM652" s="69"/>
      <c r="BN652" s="69"/>
      <c r="BO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  <c r="BC653" s="69"/>
      <c r="BD653" s="69"/>
      <c r="BE653" s="69"/>
      <c r="BF653" s="69"/>
      <c r="BG653" s="69"/>
      <c r="BH653" s="69"/>
      <c r="BI653" s="69"/>
      <c r="BJ653" s="69"/>
      <c r="BK653" s="69"/>
      <c r="BL653" s="69"/>
      <c r="BM653" s="69"/>
      <c r="BN653" s="69"/>
      <c r="BO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  <c r="AY654" s="69"/>
      <c r="AZ654" s="69"/>
      <c r="BA654" s="69"/>
      <c r="BB654" s="69"/>
      <c r="BC654" s="69"/>
      <c r="BD654" s="69"/>
      <c r="BE654" s="69"/>
      <c r="BF654" s="69"/>
      <c r="BG654" s="69"/>
      <c r="BH654" s="69"/>
      <c r="BI654" s="69"/>
      <c r="BJ654" s="69"/>
      <c r="BK654" s="69"/>
      <c r="BL654" s="69"/>
      <c r="BM654" s="69"/>
      <c r="BN654" s="69"/>
      <c r="BO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  <c r="AY655" s="69"/>
      <c r="AZ655" s="69"/>
      <c r="BA655" s="69"/>
      <c r="BB655" s="69"/>
      <c r="BC655" s="69"/>
      <c r="BD655" s="69"/>
      <c r="BE655" s="69"/>
      <c r="BF655" s="69"/>
      <c r="BG655" s="69"/>
      <c r="BH655" s="69"/>
      <c r="BI655" s="69"/>
      <c r="BJ655" s="69"/>
      <c r="BK655" s="69"/>
      <c r="BL655" s="69"/>
      <c r="BM655" s="69"/>
      <c r="BN655" s="69"/>
      <c r="BO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  <c r="AY656" s="69"/>
      <c r="AZ656" s="69"/>
      <c r="BA656" s="69"/>
      <c r="BB656" s="69"/>
      <c r="BC656" s="69"/>
      <c r="BD656" s="69"/>
      <c r="BE656" s="69"/>
      <c r="BF656" s="69"/>
      <c r="BG656" s="69"/>
      <c r="BH656" s="69"/>
      <c r="BI656" s="69"/>
      <c r="BJ656" s="69"/>
      <c r="BK656" s="69"/>
      <c r="BL656" s="69"/>
      <c r="BM656" s="69"/>
      <c r="BN656" s="69"/>
      <c r="BO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  <c r="AY657" s="69"/>
      <c r="AZ657" s="69"/>
      <c r="BA657" s="69"/>
      <c r="BB657" s="69"/>
      <c r="BC657" s="69"/>
      <c r="BD657" s="69"/>
      <c r="BE657" s="69"/>
      <c r="BF657" s="69"/>
      <c r="BG657" s="69"/>
      <c r="BH657" s="69"/>
      <c r="BI657" s="69"/>
      <c r="BJ657" s="69"/>
      <c r="BK657" s="69"/>
      <c r="BL657" s="69"/>
      <c r="BM657" s="69"/>
      <c r="BN657" s="69"/>
      <c r="BO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  <c r="AY658" s="69"/>
      <c r="AZ658" s="69"/>
      <c r="BA658" s="69"/>
      <c r="BB658" s="69"/>
      <c r="BC658" s="69"/>
      <c r="BD658" s="69"/>
      <c r="BE658" s="69"/>
      <c r="BF658" s="69"/>
      <c r="BG658" s="69"/>
      <c r="BH658" s="69"/>
      <c r="BI658" s="69"/>
      <c r="BJ658" s="69"/>
      <c r="BK658" s="69"/>
      <c r="BL658" s="69"/>
      <c r="BM658" s="69"/>
      <c r="BN658" s="69"/>
      <c r="BO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  <c r="AY659" s="69"/>
      <c r="AZ659" s="69"/>
      <c r="BA659" s="69"/>
      <c r="BB659" s="69"/>
      <c r="BC659" s="69"/>
      <c r="BD659" s="69"/>
      <c r="BE659" s="69"/>
      <c r="BF659" s="69"/>
      <c r="BG659" s="69"/>
      <c r="BH659" s="69"/>
      <c r="BI659" s="69"/>
      <c r="BJ659" s="69"/>
      <c r="BK659" s="69"/>
      <c r="BL659" s="69"/>
      <c r="BM659" s="69"/>
      <c r="BN659" s="69"/>
      <c r="BO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  <c r="BC660" s="69"/>
      <c r="BD660" s="69"/>
      <c r="BE660" s="69"/>
      <c r="BF660" s="69"/>
      <c r="BG660" s="69"/>
      <c r="BH660" s="69"/>
      <c r="BI660" s="69"/>
      <c r="BJ660" s="69"/>
      <c r="BK660" s="69"/>
      <c r="BL660" s="69"/>
      <c r="BM660" s="69"/>
      <c r="BN660" s="69"/>
      <c r="BO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  <c r="AY661" s="69"/>
      <c r="AZ661" s="69"/>
      <c r="BA661" s="69"/>
      <c r="BB661" s="69"/>
      <c r="BC661" s="69"/>
      <c r="BD661" s="69"/>
      <c r="BE661" s="69"/>
      <c r="BF661" s="69"/>
      <c r="BG661" s="69"/>
      <c r="BH661" s="69"/>
      <c r="BI661" s="69"/>
      <c r="BJ661" s="69"/>
      <c r="BK661" s="69"/>
      <c r="BL661" s="69"/>
      <c r="BM661" s="69"/>
      <c r="BN661" s="69"/>
      <c r="BO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  <c r="AY662" s="69"/>
      <c r="AZ662" s="69"/>
      <c r="BA662" s="69"/>
      <c r="BB662" s="69"/>
      <c r="BC662" s="69"/>
      <c r="BD662" s="69"/>
      <c r="BE662" s="69"/>
      <c r="BF662" s="69"/>
      <c r="BG662" s="69"/>
      <c r="BH662" s="69"/>
      <c r="BI662" s="69"/>
      <c r="BJ662" s="69"/>
      <c r="BK662" s="69"/>
      <c r="BL662" s="69"/>
      <c r="BM662" s="69"/>
      <c r="BN662" s="69"/>
      <c r="BO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  <c r="AY663" s="69"/>
      <c r="AZ663" s="69"/>
      <c r="BA663" s="69"/>
      <c r="BB663" s="69"/>
      <c r="BC663" s="69"/>
      <c r="BD663" s="69"/>
      <c r="BE663" s="69"/>
      <c r="BF663" s="69"/>
      <c r="BG663" s="69"/>
      <c r="BH663" s="69"/>
      <c r="BI663" s="69"/>
      <c r="BJ663" s="69"/>
      <c r="BK663" s="69"/>
      <c r="BL663" s="69"/>
      <c r="BM663" s="69"/>
      <c r="BN663" s="69"/>
      <c r="BO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  <c r="AY664" s="69"/>
      <c r="AZ664" s="69"/>
      <c r="BA664" s="69"/>
      <c r="BB664" s="69"/>
      <c r="BC664" s="69"/>
      <c r="BD664" s="69"/>
      <c r="BE664" s="69"/>
      <c r="BF664" s="69"/>
      <c r="BG664" s="69"/>
      <c r="BH664" s="69"/>
      <c r="BI664" s="69"/>
      <c r="BJ664" s="69"/>
      <c r="BK664" s="69"/>
      <c r="BL664" s="69"/>
      <c r="BM664" s="69"/>
      <c r="BN664" s="69"/>
      <c r="BO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69"/>
      <c r="BG665" s="69"/>
      <c r="BH665" s="69"/>
      <c r="BI665" s="69"/>
      <c r="BJ665" s="69"/>
      <c r="BK665" s="69"/>
      <c r="BL665" s="69"/>
      <c r="BM665" s="69"/>
      <c r="BN665" s="69"/>
      <c r="BO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  <c r="AY666" s="69"/>
      <c r="AZ666" s="69"/>
      <c r="BA666" s="69"/>
      <c r="BB666" s="69"/>
      <c r="BC666" s="69"/>
      <c r="BD666" s="69"/>
      <c r="BE666" s="69"/>
      <c r="BF666" s="69"/>
      <c r="BG666" s="69"/>
      <c r="BH666" s="69"/>
      <c r="BI666" s="69"/>
      <c r="BJ666" s="69"/>
      <c r="BK666" s="69"/>
      <c r="BL666" s="69"/>
      <c r="BM666" s="69"/>
      <c r="BN666" s="69"/>
      <c r="BO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  <c r="AY667" s="69"/>
      <c r="AZ667" s="69"/>
      <c r="BA667" s="69"/>
      <c r="BB667" s="69"/>
      <c r="BC667" s="69"/>
      <c r="BD667" s="69"/>
      <c r="BE667" s="69"/>
      <c r="BF667" s="69"/>
      <c r="BG667" s="69"/>
      <c r="BH667" s="69"/>
      <c r="BI667" s="69"/>
      <c r="BJ667" s="69"/>
      <c r="BK667" s="69"/>
      <c r="BL667" s="69"/>
      <c r="BM667" s="69"/>
      <c r="BN667" s="69"/>
      <c r="BO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  <c r="AY668" s="69"/>
      <c r="AZ668" s="69"/>
      <c r="BA668" s="69"/>
      <c r="BB668" s="69"/>
      <c r="BC668" s="69"/>
      <c r="BD668" s="69"/>
      <c r="BE668" s="69"/>
      <c r="BF668" s="69"/>
      <c r="BG668" s="69"/>
      <c r="BH668" s="69"/>
      <c r="BI668" s="69"/>
      <c r="BJ668" s="69"/>
      <c r="BK668" s="69"/>
      <c r="BL668" s="69"/>
      <c r="BM668" s="69"/>
      <c r="BN668" s="69"/>
      <c r="BO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  <c r="BC669" s="69"/>
      <c r="BD669" s="69"/>
      <c r="BE669" s="69"/>
      <c r="BF669" s="69"/>
      <c r="BG669" s="69"/>
      <c r="BH669" s="69"/>
      <c r="BI669" s="69"/>
      <c r="BJ669" s="69"/>
      <c r="BK669" s="69"/>
      <c r="BL669" s="69"/>
      <c r="BM669" s="69"/>
      <c r="BN669" s="69"/>
      <c r="BO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  <c r="AY670" s="69"/>
      <c r="AZ670" s="69"/>
      <c r="BA670" s="69"/>
      <c r="BB670" s="69"/>
      <c r="BC670" s="69"/>
      <c r="BD670" s="69"/>
      <c r="BE670" s="69"/>
      <c r="BF670" s="69"/>
      <c r="BG670" s="69"/>
      <c r="BH670" s="69"/>
      <c r="BI670" s="69"/>
      <c r="BJ670" s="69"/>
      <c r="BK670" s="69"/>
      <c r="BL670" s="69"/>
      <c r="BM670" s="69"/>
      <c r="BN670" s="69"/>
      <c r="BO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  <c r="AY671" s="69"/>
      <c r="AZ671" s="69"/>
      <c r="BA671" s="69"/>
      <c r="BB671" s="69"/>
      <c r="BC671" s="69"/>
      <c r="BD671" s="69"/>
      <c r="BE671" s="69"/>
      <c r="BF671" s="69"/>
      <c r="BG671" s="69"/>
      <c r="BH671" s="69"/>
      <c r="BI671" s="69"/>
      <c r="BJ671" s="69"/>
      <c r="BK671" s="69"/>
      <c r="BL671" s="69"/>
      <c r="BM671" s="69"/>
      <c r="BN671" s="69"/>
      <c r="BO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  <c r="AY672" s="69"/>
      <c r="AZ672" s="69"/>
      <c r="BA672" s="69"/>
      <c r="BB672" s="69"/>
      <c r="BC672" s="69"/>
      <c r="BD672" s="69"/>
      <c r="BE672" s="69"/>
      <c r="BF672" s="69"/>
      <c r="BG672" s="69"/>
      <c r="BH672" s="69"/>
      <c r="BI672" s="69"/>
      <c r="BJ672" s="69"/>
      <c r="BK672" s="69"/>
      <c r="BL672" s="69"/>
      <c r="BM672" s="69"/>
      <c r="BN672" s="69"/>
      <c r="BO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  <c r="AY673" s="69"/>
      <c r="AZ673" s="69"/>
      <c r="BA673" s="69"/>
      <c r="BB673" s="69"/>
      <c r="BC673" s="69"/>
      <c r="BD673" s="69"/>
      <c r="BE673" s="69"/>
      <c r="BF673" s="69"/>
      <c r="BG673" s="69"/>
      <c r="BH673" s="69"/>
      <c r="BI673" s="69"/>
      <c r="BJ673" s="69"/>
      <c r="BK673" s="69"/>
      <c r="BL673" s="69"/>
      <c r="BM673" s="69"/>
      <c r="BN673" s="69"/>
      <c r="BO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  <c r="AY674" s="69"/>
      <c r="AZ674" s="69"/>
      <c r="BA674" s="69"/>
      <c r="BB674" s="69"/>
      <c r="BC674" s="69"/>
      <c r="BD674" s="69"/>
      <c r="BE674" s="69"/>
      <c r="BF674" s="69"/>
      <c r="BG674" s="69"/>
      <c r="BH674" s="69"/>
      <c r="BI674" s="69"/>
      <c r="BJ674" s="69"/>
      <c r="BK674" s="69"/>
      <c r="BL674" s="69"/>
      <c r="BM674" s="69"/>
      <c r="BN674" s="69"/>
      <c r="BO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  <c r="AY675" s="69"/>
      <c r="AZ675" s="69"/>
      <c r="BA675" s="69"/>
      <c r="BB675" s="69"/>
      <c r="BC675" s="69"/>
      <c r="BD675" s="69"/>
      <c r="BE675" s="69"/>
      <c r="BF675" s="69"/>
      <c r="BG675" s="69"/>
      <c r="BH675" s="69"/>
      <c r="BI675" s="69"/>
      <c r="BJ675" s="69"/>
      <c r="BK675" s="69"/>
      <c r="BL675" s="69"/>
      <c r="BM675" s="69"/>
      <c r="BN675" s="69"/>
      <c r="BO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  <c r="AY676" s="69"/>
      <c r="AZ676" s="69"/>
      <c r="BA676" s="69"/>
      <c r="BB676" s="69"/>
      <c r="BC676" s="69"/>
      <c r="BD676" s="69"/>
      <c r="BE676" s="69"/>
      <c r="BF676" s="69"/>
      <c r="BG676" s="69"/>
      <c r="BH676" s="69"/>
      <c r="BI676" s="69"/>
      <c r="BJ676" s="69"/>
      <c r="BK676" s="69"/>
      <c r="BL676" s="69"/>
      <c r="BM676" s="69"/>
      <c r="BN676" s="69"/>
      <c r="BO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  <c r="AY677" s="69"/>
      <c r="AZ677" s="69"/>
      <c r="BA677" s="69"/>
      <c r="BB677" s="69"/>
      <c r="BC677" s="69"/>
      <c r="BD677" s="69"/>
      <c r="BE677" s="69"/>
      <c r="BF677" s="69"/>
      <c r="BG677" s="69"/>
      <c r="BH677" s="69"/>
      <c r="BI677" s="69"/>
      <c r="BJ677" s="69"/>
      <c r="BK677" s="69"/>
      <c r="BL677" s="69"/>
      <c r="BM677" s="69"/>
      <c r="BN677" s="69"/>
      <c r="BO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  <c r="AY678" s="69"/>
      <c r="AZ678" s="69"/>
      <c r="BA678" s="69"/>
      <c r="BB678" s="69"/>
      <c r="BC678" s="69"/>
      <c r="BD678" s="69"/>
      <c r="BE678" s="69"/>
      <c r="BF678" s="69"/>
      <c r="BG678" s="69"/>
      <c r="BH678" s="69"/>
      <c r="BI678" s="69"/>
      <c r="BJ678" s="69"/>
      <c r="BK678" s="69"/>
      <c r="BL678" s="69"/>
      <c r="BM678" s="69"/>
      <c r="BN678" s="69"/>
      <c r="BO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  <c r="AY679" s="69"/>
      <c r="AZ679" s="69"/>
      <c r="BA679" s="69"/>
      <c r="BB679" s="69"/>
      <c r="BC679" s="69"/>
      <c r="BD679" s="69"/>
      <c r="BE679" s="69"/>
      <c r="BF679" s="69"/>
      <c r="BG679" s="69"/>
      <c r="BH679" s="69"/>
      <c r="BI679" s="69"/>
      <c r="BJ679" s="69"/>
      <c r="BK679" s="69"/>
      <c r="BL679" s="69"/>
      <c r="BM679" s="69"/>
      <c r="BN679" s="69"/>
      <c r="BO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  <c r="AY680" s="69"/>
      <c r="AZ680" s="69"/>
      <c r="BA680" s="69"/>
      <c r="BB680" s="69"/>
      <c r="BC680" s="69"/>
      <c r="BD680" s="69"/>
      <c r="BE680" s="69"/>
      <c r="BF680" s="69"/>
      <c r="BG680" s="69"/>
      <c r="BH680" s="69"/>
      <c r="BI680" s="69"/>
      <c r="BJ680" s="69"/>
      <c r="BK680" s="69"/>
      <c r="BL680" s="69"/>
      <c r="BM680" s="69"/>
      <c r="BN680" s="69"/>
      <c r="BO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  <c r="AY681" s="69"/>
      <c r="AZ681" s="69"/>
      <c r="BA681" s="69"/>
      <c r="BB681" s="69"/>
      <c r="BC681" s="69"/>
      <c r="BD681" s="69"/>
      <c r="BE681" s="69"/>
      <c r="BF681" s="69"/>
      <c r="BG681" s="69"/>
      <c r="BH681" s="69"/>
      <c r="BI681" s="69"/>
      <c r="BJ681" s="69"/>
      <c r="BK681" s="69"/>
      <c r="BL681" s="69"/>
      <c r="BM681" s="69"/>
      <c r="BN681" s="69"/>
      <c r="BO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  <c r="AY682" s="69"/>
      <c r="AZ682" s="69"/>
      <c r="BA682" s="69"/>
      <c r="BB682" s="69"/>
      <c r="BC682" s="69"/>
      <c r="BD682" s="69"/>
      <c r="BE682" s="69"/>
      <c r="BF682" s="69"/>
      <c r="BG682" s="69"/>
      <c r="BH682" s="69"/>
      <c r="BI682" s="69"/>
      <c r="BJ682" s="69"/>
      <c r="BK682" s="69"/>
      <c r="BL682" s="69"/>
      <c r="BM682" s="69"/>
      <c r="BN682" s="69"/>
      <c r="BO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69"/>
      <c r="BH683" s="69"/>
      <c r="BI683" s="69"/>
      <c r="BJ683" s="69"/>
      <c r="BK683" s="69"/>
      <c r="BL683" s="69"/>
      <c r="BM683" s="69"/>
      <c r="BN683" s="69"/>
      <c r="BO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  <c r="AY684" s="69"/>
      <c r="AZ684" s="69"/>
      <c r="BA684" s="69"/>
      <c r="BB684" s="69"/>
      <c r="BC684" s="69"/>
      <c r="BD684" s="69"/>
      <c r="BE684" s="69"/>
      <c r="BF684" s="69"/>
      <c r="BG684" s="69"/>
      <c r="BH684" s="69"/>
      <c r="BI684" s="69"/>
      <c r="BJ684" s="69"/>
      <c r="BK684" s="69"/>
      <c r="BL684" s="69"/>
      <c r="BM684" s="69"/>
      <c r="BN684" s="69"/>
      <c r="BO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  <c r="AY685" s="69"/>
      <c r="AZ685" s="69"/>
      <c r="BA685" s="69"/>
      <c r="BB685" s="69"/>
      <c r="BC685" s="69"/>
      <c r="BD685" s="69"/>
      <c r="BE685" s="69"/>
      <c r="BF685" s="69"/>
      <c r="BG685" s="69"/>
      <c r="BH685" s="69"/>
      <c r="BI685" s="69"/>
      <c r="BJ685" s="69"/>
      <c r="BK685" s="69"/>
      <c r="BL685" s="69"/>
      <c r="BM685" s="69"/>
      <c r="BN685" s="69"/>
      <c r="BO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69"/>
      <c r="BG686" s="69"/>
      <c r="BH686" s="69"/>
      <c r="BI686" s="69"/>
      <c r="BJ686" s="69"/>
      <c r="BK686" s="69"/>
      <c r="BL686" s="69"/>
      <c r="BM686" s="69"/>
      <c r="BN686" s="69"/>
      <c r="BO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  <c r="AY687" s="69"/>
      <c r="AZ687" s="69"/>
      <c r="BA687" s="69"/>
      <c r="BB687" s="69"/>
      <c r="BC687" s="69"/>
      <c r="BD687" s="69"/>
      <c r="BE687" s="69"/>
      <c r="BF687" s="69"/>
      <c r="BG687" s="69"/>
      <c r="BH687" s="69"/>
      <c r="BI687" s="69"/>
      <c r="BJ687" s="69"/>
      <c r="BK687" s="69"/>
      <c r="BL687" s="69"/>
      <c r="BM687" s="69"/>
      <c r="BN687" s="69"/>
      <c r="BO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  <c r="AY688" s="69"/>
      <c r="AZ688" s="69"/>
      <c r="BA688" s="69"/>
      <c r="BB688" s="69"/>
      <c r="BC688" s="69"/>
      <c r="BD688" s="69"/>
      <c r="BE688" s="69"/>
      <c r="BF688" s="69"/>
      <c r="BG688" s="69"/>
      <c r="BH688" s="69"/>
      <c r="BI688" s="69"/>
      <c r="BJ688" s="69"/>
      <c r="BK688" s="69"/>
      <c r="BL688" s="69"/>
      <c r="BM688" s="69"/>
      <c r="BN688" s="69"/>
      <c r="BO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  <c r="AY689" s="69"/>
      <c r="AZ689" s="69"/>
      <c r="BA689" s="69"/>
      <c r="BB689" s="69"/>
      <c r="BC689" s="69"/>
      <c r="BD689" s="69"/>
      <c r="BE689" s="69"/>
      <c r="BF689" s="69"/>
      <c r="BG689" s="69"/>
      <c r="BH689" s="69"/>
      <c r="BI689" s="69"/>
      <c r="BJ689" s="69"/>
      <c r="BK689" s="69"/>
      <c r="BL689" s="69"/>
      <c r="BM689" s="69"/>
      <c r="BN689" s="69"/>
      <c r="BO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  <c r="AY690" s="69"/>
      <c r="AZ690" s="69"/>
      <c r="BA690" s="69"/>
      <c r="BB690" s="69"/>
      <c r="BC690" s="69"/>
      <c r="BD690" s="69"/>
      <c r="BE690" s="69"/>
      <c r="BF690" s="69"/>
      <c r="BG690" s="69"/>
      <c r="BH690" s="69"/>
      <c r="BI690" s="69"/>
      <c r="BJ690" s="69"/>
      <c r="BK690" s="69"/>
      <c r="BL690" s="69"/>
      <c r="BM690" s="69"/>
      <c r="BN690" s="69"/>
      <c r="BO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  <c r="BC691" s="69"/>
      <c r="BD691" s="69"/>
      <c r="BE691" s="69"/>
      <c r="BF691" s="69"/>
      <c r="BG691" s="69"/>
      <c r="BH691" s="69"/>
      <c r="BI691" s="69"/>
      <c r="BJ691" s="69"/>
      <c r="BK691" s="69"/>
      <c r="BL691" s="69"/>
      <c r="BM691" s="69"/>
      <c r="BN691" s="69"/>
      <c r="BO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  <c r="AY692" s="69"/>
      <c r="AZ692" s="69"/>
      <c r="BA692" s="69"/>
      <c r="BB692" s="69"/>
      <c r="BC692" s="69"/>
      <c r="BD692" s="69"/>
      <c r="BE692" s="69"/>
      <c r="BF692" s="69"/>
      <c r="BG692" s="69"/>
      <c r="BH692" s="69"/>
      <c r="BI692" s="69"/>
      <c r="BJ692" s="69"/>
      <c r="BK692" s="69"/>
      <c r="BL692" s="69"/>
      <c r="BM692" s="69"/>
      <c r="BN692" s="69"/>
      <c r="BO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  <c r="AY693" s="69"/>
      <c r="AZ693" s="69"/>
      <c r="BA693" s="69"/>
      <c r="BB693" s="69"/>
      <c r="BC693" s="69"/>
      <c r="BD693" s="69"/>
      <c r="BE693" s="69"/>
      <c r="BF693" s="69"/>
      <c r="BG693" s="69"/>
      <c r="BH693" s="69"/>
      <c r="BI693" s="69"/>
      <c r="BJ693" s="69"/>
      <c r="BK693" s="69"/>
      <c r="BL693" s="69"/>
      <c r="BM693" s="69"/>
      <c r="BN693" s="69"/>
      <c r="BO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  <c r="BC694" s="69"/>
      <c r="BD694" s="69"/>
      <c r="BE694" s="69"/>
      <c r="BF694" s="69"/>
      <c r="BG694" s="69"/>
      <c r="BH694" s="69"/>
      <c r="BI694" s="69"/>
      <c r="BJ694" s="69"/>
      <c r="BK694" s="69"/>
      <c r="BL694" s="69"/>
      <c r="BM694" s="69"/>
      <c r="BN694" s="69"/>
      <c r="BO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  <c r="AY695" s="69"/>
      <c r="AZ695" s="69"/>
      <c r="BA695" s="69"/>
      <c r="BB695" s="69"/>
      <c r="BC695" s="69"/>
      <c r="BD695" s="69"/>
      <c r="BE695" s="69"/>
      <c r="BF695" s="69"/>
      <c r="BG695" s="69"/>
      <c r="BH695" s="69"/>
      <c r="BI695" s="69"/>
      <c r="BJ695" s="69"/>
      <c r="BK695" s="69"/>
      <c r="BL695" s="69"/>
      <c r="BM695" s="69"/>
      <c r="BN695" s="69"/>
      <c r="BO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  <c r="AY696" s="69"/>
      <c r="AZ696" s="69"/>
      <c r="BA696" s="69"/>
      <c r="BB696" s="69"/>
      <c r="BC696" s="69"/>
      <c r="BD696" s="69"/>
      <c r="BE696" s="69"/>
      <c r="BF696" s="69"/>
      <c r="BG696" s="69"/>
      <c r="BH696" s="69"/>
      <c r="BI696" s="69"/>
      <c r="BJ696" s="69"/>
      <c r="BK696" s="69"/>
      <c r="BL696" s="69"/>
      <c r="BM696" s="69"/>
      <c r="BN696" s="69"/>
      <c r="BO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  <c r="AY697" s="69"/>
      <c r="AZ697" s="69"/>
      <c r="BA697" s="69"/>
      <c r="BB697" s="69"/>
      <c r="BC697" s="69"/>
      <c r="BD697" s="69"/>
      <c r="BE697" s="69"/>
      <c r="BF697" s="69"/>
      <c r="BG697" s="69"/>
      <c r="BH697" s="69"/>
      <c r="BI697" s="69"/>
      <c r="BJ697" s="69"/>
      <c r="BK697" s="69"/>
      <c r="BL697" s="69"/>
      <c r="BM697" s="69"/>
      <c r="BN697" s="69"/>
      <c r="BO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  <c r="AY698" s="69"/>
      <c r="AZ698" s="69"/>
      <c r="BA698" s="69"/>
      <c r="BB698" s="69"/>
      <c r="BC698" s="69"/>
      <c r="BD698" s="69"/>
      <c r="BE698" s="69"/>
      <c r="BF698" s="69"/>
      <c r="BG698" s="69"/>
      <c r="BH698" s="69"/>
      <c r="BI698" s="69"/>
      <c r="BJ698" s="69"/>
      <c r="BK698" s="69"/>
      <c r="BL698" s="69"/>
      <c r="BM698" s="69"/>
      <c r="BN698" s="69"/>
      <c r="BO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  <c r="AY699" s="69"/>
      <c r="AZ699" s="69"/>
      <c r="BA699" s="69"/>
      <c r="BB699" s="69"/>
      <c r="BC699" s="69"/>
      <c r="BD699" s="69"/>
      <c r="BE699" s="69"/>
      <c r="BF699" s="69"/>
      <c r="BG699" s="69"/>
      <c r="BH699" s="69"/>
      <c r="BI699" s="69"/>
      <c r="BJ699" s="69"/>
      <c r="BK699" s="69"/>
      <c r="BL699" s="69"/>
      <c r="BM699" s="69"/>
      <c r="BN699" s="69"/>
      <c r="BO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  <c r="AY700" s="69"/>
      <c r="AZ700" s="69"/>
      <c r="BA700" s="69"/>
      <c r="BB700" s="69"/>
      <c r="BC700" s="69"/>
      <c r="BD700" s="69"/>
      <c r="BE700" s="69"/>
      <c r="BF700" s="69"/>
      <c r="BG700" s="69"/>
      <c r="BH700" s="69"/>
      <c r="BI700" s="69"/>
      <c r="BJ700" s="69"/>
      <c r="BK700" s="69"/>
      <c r="BL700" s="69"/>
      <c r="BM700" s="69"/>
      <c r="BN700" s="69"/>
      <c r="BO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  <c r="AY701" s="69"/>
      <c r="AZ701" s="69"/>
      <c r="BA701" s="69"/>
      <c r="BB701" s="69"/>
      <c r="BC701" s="69"/>
      <c r="BD701" s="69"/>
      <c r="BE701" s="69"/>
      <c r="BF701" s="69"/>
      <c r="BG701" s="69"/>
      <c r="BH701" s="69"/>
      <c r="BI701" s="69"/>
      <c r="BJ701" s="69"/>
      <c r="BK701" s="69"/>
      <c r="BL701" s="69"/>
      <c r="BM701" s="69"/>
      <c r="BN701" s="69"/>
      <c r="BO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  <c r="BC702" s="69"/>
      <c r="BD702" s="69"/>
      <c r="BE702" s="69"/>
      <c r="BF702" s="69"/>
      <c r="BG702" s="69"/>
      <c r="BH702" s="69"/>
      <c r="BI702" s="69"/>
      <c r="BJ702" s="69"/>
      <c r="BK702" s="69"/>
      <c r="BL702" s="69"/>
      <c r="BM702" s="69"/>
      <c r="BN702" s="69"/>
      <c r="BO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  <c r="AY703" s="69"/>
      <c r="AZ703" s="69"/>
      <c r="BA703" s="69"/>
      <c r="BB703" s="69"/>
      <c r="BC703" s="69"/>
      <c r="BD703" s="69"/>
      <c r="BE703" s="69"/>
      <c r="BF703" s="69"/>
      <c r="BG703" s="69"/>
      <c r="BH703" s="69"/>
      <c r="BI703" s="69"/>
      <c r="BJ703" s="69"/>
      <c r="BK703" s="69"/>
      <c r="BL703" s="69"/>
      <c r="BM703" s="69"/>
      <c r="BN703" s="69"/>
      <c r="BO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  <c r="AY704" s="69"/>
      <c r="AZ704" s="69"/>
      <c r="BA704" s="69"/>
      <c r="BB704" s="69"/>
      <c r="BC704" s="69"/>
      <c r="BD704" s="69"/>
      <c r="BE704" s="69"/>
      <c r="BF704" s="69"/>
      <c r="BG704" s="69"/>
      <c r="BH704" s="69"/>
      <c r="BI704" s="69"/>
      <c r="BJ704" s="69"/>
      <c r="BK704" s="69"/>
      <c r="BL704" s="69"/>
      <c r="BM704" s="69"/>
      <c r="BN704" s="69"/>
      <c r="BO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  <c r="AY705" s="69"/>
      <c r="AZ705" s="69"/>
      <c r="BA705" s="69"/>
      <c r="BB705" s="69"/>
      <c r="BC705" s="69"/>
      <c r="BD705" s="69"/>
      <c r="BE705" s="69"/>
      <c r="BF705" s="69"/>
      <c r="BG705" s="69"/>
      <c r="BH705" s="69"/>
      <c r="BI705" s="69"/>
      <c r="BJ705" s="69"/>
      <c r="BK705" s="69"/>
      <c r="BL705" s="69"/>
      <c r="BM705" s="69"/>
      <c r="BN705" s="69"/>
      <c r="BO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  <c r="AY706" s="69"/>
      <c r="AZ706" s="69"/>
      <c r="BA706" s="69"/>
      <c r="BB706" s="69"/>
      <c r="BC706" s="69"/>
      <c r="BD706" s="69"/>
      <c r="BE706" s="69"/>
      <c r="BF706" s="69"/>
      <c r="BG706" s="69"/>
      <c r="BH706" s="69"/>
      <c r="BI706" s="69"/>
      <c r="BJ706" s="69"/>
      <c r="BK706" s="69"/>
      <c r="BL706" s="69"/>
      <c r="BM706" s="69"/>
      <c r="BN706" s="69"/>
      <c r="BO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  <c r="AY707" s="69"/>
      <c r="AZ707" s="69"/>
      <c r="BA707" s="69"/>
      <c r="BB707" s="69"/>
      <c r="BC707" s="69"/>
      <c r="BD707" s="69"/>
      <c r="BE707" s="69"/>
      <c r="BF707" s="69"/>
      <c r="BG707" s="69"/>
      <c r="BH707" s="69"/>
      <c r="BI707" s="69"/>
      <c r="BJ707" s="69"/>
      <c r="BK707" s="69"/>
      <c r="BL707" s="69"/>
      <c r="BM707" s="69"/>
      <c r="BN707" s="69"/>
      <c r="BO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  <c r="AY708" s="69"/>
      <c r="AZ708" s="69"/>
      <c r="BA708" s="69"/>
      <c r="BB708" s="69"/>
      <c r="BC708" s="69"/>
      <c r="BD708" s="69"/>
      <c r="BE708" s="69"/>
      <c r="BF708" s="69"/>
      <c r="BG708" s="69"/>
      <c r="BH708" s="69"/>
      <c r="BI708" s="69"/>
      <c r="BJ708" s="69"/>
      <c r="BK708" s="69"/>
      <c r="BL708" s="69"/>
      <c r="BM708" s="69"/>
      <c r="BN708" s="69"/>
      <c r="BO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  <c r="BC709" s="69"/>
      <c r="BD709" s="69"/>
      <c r="BE709" s="69"/>
      <c r="BF709" s="69"/>
      <c r="BG709" s="69"/>
      <c r="BH709" s="69"/>
      <c r="BI709" s="69"/>
      <c r="BJ709" s="69"/>
      <c r="BK709" s="69"/>
      <c r="BL709" s="69"/>
      <c r="BM709" s="69"/>
      <c r="BN709" s="69"/>
      <c r="BO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  <c r="AY710" s="69"/>
      <c r="AZ710" s="69"/>
      <c r="BA710" s="69"/>
      <c r="BB710" s="69"/>
      <c r="BC710" s="69"/>
      <c r="BD710" s="69"/>
      <c r="BE710" s="69"/>
      <c r="BF710" s="69"/>
      <c r="BG710" s="69"/>
      <c r="BH710" s="69"/>
      <c r="BI710" s="69"/>
      <c r="BJ710" s="69"/>
      <c r="BK710" s="69"/>
      <c r="BL710" s="69"/>
      <c r="BM710" s="69"/>
      <c r="BN710" s="69"/>
      <c r="BO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  <c r="BC711" s="69"/>
      <c r="BD711" s="69"/>
      <c r="BE711" s="69"/>
      <c r="BF711" s="69"/>
      <c r="BG711" s="69"/>
      <c r="BH711" s="69"/>
      <c r="BI711" s="69"/>
      <c r="BJ711" s="69"/>
      <c r="BK711" s="69"/>
      <c r="BL711" s="69"/>
      <c r="BM711" s="69"/>
      <c r="BN711" s="69"/>
      <c r="BO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  <c r="AY712" s="69"/>
      <c r="AZ712" s="69"/>
      <c r="BA712" s="69"/>
      <c r="BB712" s="69"/>
      <c r="BC712" s="69"/>
      <c r="BD712" s="69"/>
      <c r="BE712" s="69"/>
      <c r="BF712" s="69"/>
      <c r="BG712" s="69"/>
      <c r="BH712" s="69"/>
      <c r="BI712" s="69"/>
      <c r="BJ712" s="69"/>
      <c r="BK712" s="69"/>
      <c r="BL712" s="69"/>
      <c r="BM712" s="69"/>
      <c r="BN712" s="69"/>
      <c r="BO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  <c r="AY713" s="69"/>
      <c r="AZ713" s="69"/>
      <c r="BA713" s="69"/>
      <c r="BB713" s="69"/>
      <c r="BC713" s="69"/>
      <c r="BD713" s="69"/>
      <c r="BE713" s="69"/>
      <c r="BF713" s="69"/>
      <c r="BG713" s="69"/>
      <c r="BH713" s="69"/>
      <c r="BI713" s="69"/>
      <c r="BJ713" s="69"/>
      <c r="BK713" s="69"/>
      <c r="BL713" s="69"/>
      <c r="BM713" s="69"/>
      <c r="BN713" s="69"/>
      <c r="BO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  <c r="AY714" s="69"/>
      <c r="AZ714" s="69"/>
      <c r="BA714" s="69"/>
      <c r="BB714" s="69"/>
      <c r="BC714" s="69"/>
      <c r="BD714" s="69"/>
      <c r="BE714" s="69"/>
      <c r="BF714" s="69"/>
      <c r="BG714" s="69"/>
      <c r="BH714" s="69"/>
      <c r="BI714" s="69"/>
      <c r="BJ714" s="69"/>
      <c r="BK714" s="69"/>
      <c r="BL714" s="69"/>
      <c r="BM714" s="69"/>
      <c r="BN714" s="69"/>
      <c r="BO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  <c r="AY715" s="69"/>
      <c r="AZ715" s="69"/>
      <c r="BA715" s="69"/>
      <c r="BB715" s="69"/>
      <c r="BC715" s="69"/>
      <c r="BD715" s="69"/>
      <c r="BE715" s="69"/>
      <c r="BF715" s="69"/>
      <c r="BG715" s="69"/>
      <c r="BH715" s="69"/>
      <c r="BI715" s="69"/>
      <c r="BJ715" s="69"/>
      <c r="BK715" s="69"/>
      <c r="BL715" s="69"/>
      <c r="BM715" s="69"/>
      <c r="BN715" s="69"/>
      <c r="BO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  <c r="AY716" s="69"/>
      <c r="AZ716" s="69"/>
      <c r="BA716" s="69"/>
      <c r="BB716" s="69"/>
      <c r="BC716" s="69"/>
      <c r="BD716" s="69"/>
      <c r="BE716" s="69"/>
      <c r="BF716" s="69"/>
      <c r="BG716" s="69"/>
      <c r="BH716" s="69"/>
      <c r="BI716" s="69"/>
      <c r="BJ716" s="69"/>
      <c r="BK716" s="69"/>
      <c r="BL716" s="69"/>
      <c r="BM716" s="69"/>
      <c r="BN716" s="69"/>
      <c r="BO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  <c r="AY717" s="69"/>
      <c r="AZ717" s="69"/>
      <c r="BA717" s="69"/>
      <c r="BB717" s="69"/>
      <c r="BC717" s="69"/>
      <c r="BD717" s="69"/>
      <c r="BE717" s="69"/>
      <c r="BF717" s="69"/>
      <c r="BG717" s="69"/>
      <c r="BH717" s="69"/>
      <c r="BI717" s="69"/>
      <c r="BJ717" s="69"/>
      <c r="BK717" s="69"/>
      <c r="BL717" s="69"/>
      <c r="BM717" s="69"/>
      <c r="BN717" s="69"/>
      <c r="BO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  <c r="AY718" s="69"/>
      <c r="AZ718" s="69"/>
      <c r="BA718" s="69"/>
      <c r="BB718" s="69"/>
      <c r="BC718" s="69"/>
      <c r="BD718" s="69"/>
      <c r="BE718" s="69"/>
      <c r="BF718" s="69"/>
      <c r="BG718" s="69"/>
      <c r="BH718" s="69"/>
      <c r="BI718" s="69"/>
      <c r="BJ718" s="69"/>
      <c r="BK718" s="69"/>
      <c r="BL718" s="69"/>
      <c r="BM718" s="69"/>
      <c r="BN718" s="69"/>
      <c r="BO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69"/>
      <c r="BG719" s="69"/>
      <c r="BH719" s="69"/>
      <c r="BI719" s="69"/>
      <c r="BJ719" s="69"/>
      <c r="BK719" s="69"/>
      <c r="BL719" s="69"/>
      <c r="BM719" s="69"/>
      <c r="BN719" s="69"/>
      <c r="BO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  <c r="AY720" s="69"/>
      <c r="AZ720" s="69"/>
      <c r="BA720" s="69"/>
      <c r="BB720" s="69"/>
      <c r="BC720" s="69"/>
      <c r="BD720" s="69"/>
      <c r="BE720" s="69"/>
      <c r="BF720" s="69"/>
      <c r="BG720" s="69"/>
      <c r="BH720" s="69"/>
      <c r="BI720" s="69"/>
      <c r="BJ720" s="69"/>
      <c r="BK720" s="69"/>
      <c r="BL720" s="69"/>
      <c r="BM720" s="69"/>
      <c r="BN720" s="69"/>
      <c r="BO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  <c r="AY721" s="69"/>
      <c r="AZ721" s="69"/>
      <c r="BA721" s="69"/>
      <c r="BB721" s="69"/>
      <c r="BC721" s="69"/>
      <c r="BD721" s="69"/>
      <c r="BE721" s="69"/>
      <c r="BF721" s="69"/>
      <c r="BG721" s="69"/>
      <c r="BH721" s="69"/>
      <c r="BI721" s="69"/>
      <c r="BJ721" s="69"/>
      <c r="BK721" s="69"/>
      <c r="BL721" s="69"/>
      <c r="BM721" s="69"/>
      <c r="BN721" s="69"/>
      <c r="BO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  <c r="AY722" s="69"/>
      <c r="AZ722" s="69"/>
      <c r="BA722" s="69"/>
      <c r="BB722" s="69"/>
      <c r="BC722" s="69"/>
      <c r="BD722" s="69"/>
      <c r="BE722" s="69"/>
      <c r="BF722" s="69"/>
      <c r="BG722" s="69"/>
      <c r="BH722" s="69"/>
      <c r="BI722" s="69"/>
      <c r="BJ722" s="69"/>
      <c r="BK722" s="69"/>
      <c r="BL722" s="69"/>
      <c r="BM722" s="69"/>
      <c r="BN722" s="69"/>
      <c r="BO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69"/>
      <c r="BH723" s="69"/>
      <c r="BI723" s="69"/>
      <c r="BJ723" s="69"/>
      <c r="BK723" s="69"/>
      <c r="BL723" s="69"/>
      <c r="BM723" s="69"/>
      <c r="BN723" s="69"/>
      <c r="BO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  <c r="AY724" s="69"/>
      <c r="AZ724" s="69"/>
      <c r="BA724" s="69"/>
      <c r="BB724" s="69"/>
      <c r="BC724" s="69"/>
      <c r="BD724" s="69"/>
      <c r="BE724" s="69"/>
      <c r="BF724" s="69"/>
      <c r="BG724" s="69"/>
      <c r="BH724" s="69"/>
      <c r="BI724" s="69"/>
      <c r="BJ724" s="69"/>
      <c r="BK724" s="69"/>
      <c r="BL724" s="69"/>
      <c r="BM724" s="69"/>
      <c r="BN724" s="69"/>
      <c r="BO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  <c r="AY725" s="69"/>
      <c r="AZ725" s="69"/>
      <c r="BA725" s="69"/>
      <c r="BB725" s="69"/>
      <c r="BC725" s="69"/>
      <c r="BD725" s="69"/>
      <c r="BE725" s="69"/>
      <c r="BF725" s="69"/>
      <c r="BG725" s="69"/>
      <c r="BH725" s="69"/>
      <c r="BI725" s="69"/>
      <c r="BJ725" s="69"/>
      <c r="BK725" s="69"/>
      <c r="BL725" s="69"/>
      <c r="BM725" s="69"/>
      <c r="BN725" s="69"/>
      <c r="BO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69"/>
      <c r="BG726" s="69"/>
      <c r="BH726" s="69"/>
      <c r="BI726" s="69"/>
      <c r="BJ726" s="69"/>
      <c r="BK726" s="69"/>
      <c r="BL726" s="69"/>
      <c r="BM726" s="69"/>
      <c r="BN726" s="69"/>
      <c r="BO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  <c r="AY727" s="69"/>
      <c r="AZ727" s="69"/>
      <c r="BA727" s="69"/>
      <c r="BB727" s="69"/>
      <c r="BC727" s="69"/>
      <c r="BD727" s="69"/>
      <c r="BE727" s="69"/>
      <c r="BF727" s="69"/>
      <c r="BG727" s="69"/>
      <c r="BH727" s="69"/>
      <c r="BI727" s="69"/>
      <c r="BJ727" s="69"/>
      <c r="BK727" s="69"/>
      <c r="BL727" s="69"/>
      <c r="BM727" s="69"/>
      <c r="BN727" s="69"/>
      <c r="BO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  <c r="AY728" s="69"/>
      <c r="AZ728" s="69"/>
      <c r="BA728" s="69"/>
      <c r="BB728" s="69"/>
      <c r="BC728" s="69"/>
      <c r="BD728" s="69"/>
      <c r="BE728" s="69"/>
      <c r="BF728" s="69"/>
      <c r="BG728" s="69"/>
      <c r="BH728" s="69"/>
      <c r="BI728" s="69"/>
      <c r="BJ728" s="69"/>
      <c r="BK728" s="69"/>
      <c r="BL728" s="69"/>
      <c r="BM728" s="69"/>
      <c r="BN728" s="69"/>
      <c r="BO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  <c r="AY729" s="69"/>
      <c r="AZ729" s="69"/>
      <c r="BA729" s="69"/>
      <c r="BB729" s="69"/>
      <c r="BC729" s="69"/>
      <c r="BD729" s="69"/>
      <c r="BE729" s="69"/>
      <c r="BF729" s="69"/>
      <c r="BG729" s="69"/>
      <c r="BH729" s="69"/>
      <c r="BI729" s="69"/>
      <c r="BJ729" s="69"/>
      <c r="BK729" s="69"/>
      <c r="BL729" s="69"/>
      <c r="BM729" s="69"/>
      <c r="BN729" s="69"/>
      <c r="BO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  <c r="AY730" s="69"/>
      <c r="AZ730" s="69"/>
      <c r="BA730" s="69"/>
      <c r="BB730" s="69"/>
      <c r="BC730" s="69"/>
      <c r="BD730" s="69"/>
      <c r="BE730" s="69"/>
      <c r="BF730" s="69"/>
      <c r="BG730" s="69"/>
      <c r="BH730" s="69"/>
      <c r="BI730" s="69"/>
      <c r="BJ730" s="69"/>
      <c r="BK730" s="69"/>
      <c r="BL730" s="69"/>
      <c r="BM730" s="69"/>
      <c r="BN730" s="69"/>
      <c r="BO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  <c r="AY731" s="69"/>
      <c r="AZ731" s="69"/>
      <c r="BA731" s="69"/>
      <c r="BB731" s="69"/>
      <c r="BC731" s="69"/>
      <c r="BD731" s="69"/>
      <c r="BE731" s="69"/>
      <c r="BF731" s="69"/>
      <c r="BG731" s="69"/>
      <c r="BH731" s="69"/>
      <c r="BI731" s="69"/>
      <c r="BJ731" s="69"/>
      <c r="BK731" s="69"/>
      <c r="BL731" s="69"/>
      <c r="BM731" s="69"/>
      <c r="BN731" s="69"/>
      <c r="BO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  <c r="AY733" s="69"/>
      <c r="AZ733" s="69"/>
      <c r="BA733" s="69"/>
      <c r="BB733" s="69"/>
      <c r="BC733" s="69"/>
      <c r="BD733" s="69"/>
      <c r="BE733" s="69"/>
      <c r="BF733" s="69"/>
      <c r="BG733" s="69"/>
      <c r="BH733" s="69"/>
      <c r="BI733" s="69"/>
      <c r="BJ733" s="69"/>
      <c r="BK733" s="69"/>
      <c r="BL733" s="69"/>
      <c r="BM733" s="69"/>
      <c r="BN733" s="69"/>
      <c r="BO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  <c r="AY734" s="69"/>
      <c r="AZ734" s="69"/>
      <c r="BA734" s="69"/>
      <c r="BB734" s="69"/>
      <c r="BC734" s="69"/>
      <c r="BD734" s="69"/>
      <c r="BE734" s="69"/>
      <c r="BF734" s="69"/>
      <c r="BG734" s="69"/>
      <c r="BH734" s="69"/>
      <c r="BI734" s="69"/>
      <c r="BJ734" s="69"/>
      <c r="BK734" s="69"/>
      <c r="BL734" s="69"/>
      <c r="BM734" s="69"/>
      <c r="BN734" s="69"/>
      <c r="BO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  <c r="AY735" s="69"/>
      <c r="AZ735" s="69"/>
      <c r="BA735" s="69"/>
      <c r="BB735" s="69"/>
      <c r="BC735" s="69"/>
      <c r="BD735" s="69"/>
      <c r="BE735" s="69"/>
      <c r="BF735" s="69"/>
      <c r="BG735" s="69"/>
      <c r="BH735" s="69"/>
      <c r="BI735" s="69"/>
      <c r="BJ735" s="69"/>
      <c r="BK735" s="69"/>
      <c r="BL735" s="69"/>
      <c r="BM735" s="69"/>
      <c r="BN735" s="69"/>
      <c r="BO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  <c r="AY736" s="69"/>
      <c r="AZ736" s="69"/>
      <c r="BA736" s="69"/>
      <c r="BB736" s="69"/>
      <c r="BC736" s="69"/>
      <c r="BD736" s="69"/>
      <c r="BE736" s="69"/>
      <c r="BF736" s="69"/>
      <c r="BG736" s="69"/>
      <c r="BH736" s="69"/>
      <c r="BI736" s="69"/>
      <c r="BJ736" s="69"/>
      <c r="BK736" s="69"/>
      <c r="BL736" s="69"/>
      <c r="BM736" s="69"/>
      <c r="BN736" s="69"/>
      <c r="BO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69"/>
      <c r="BG737" s="69"/>
      <c r="BH737" s="69"/>
      <c r="BI737" s="69"/>
      <c r="BJ737" s="69"/>
      <c r="BK737" s="69"/>
      <c r="BL737" s="69"/>
      <c r="BM737" s="69"/>
      <c r="BN737" s="69"/>
      <c r="BO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  <c r="AY738" s="69"/>
      <c r="AZ738" s="69"/>
      <c r="BA738" s="69"/>
      <c r="BB738" s="69"/>
      <c r="BC738" s="69"/>
      <c r="BD738" s="69"/>
      <c r="BE738" s="69"/>
      <c r="BF738" s="69"/>
      <c r="BG738" s="69"/>
      <c r="BH738" s="69"/>
      <c r="BI738" s="69"/>
      <c r="BJ738" s="69"/>
      <c r="BK738" s="69"/>
      <c r="BL738" s="69"/>
      <c r="BM738" s="69"/>
      <c r="BN738" s="69"/>
      <c r="BO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  <c r="AY739" s="69"/>
      <c r="AZ739" s="69"/>
      <c r="BA739" s="69"/>
      <c r="BB739" s="69"/>
      <c r="BC739" s="69"/>
      <c r="BD739" s="69"/>
      <c r="BE739" s="69"/>
      <c r="BF739" s="69"/>
      <c r="BG739" s="69"/>
      <c r="BH739" s="69"/>
      <c r="BI739" s="69"/>
      <c r="BJ739" s="69"/>
      <c r="BK739" s="69"/>
      <c r="BL739" s="69"/>
      <c r="BM739" s="69"/>
      <c r="BN739" s="69"/>
      <c r="BO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  <c r="AY740" s="69"/>
      <c r="AZ740" s="69"/>
      <c r="BA740" s="69"/>
      <c r="BB740" s="69"/>
      <c r="BC740" s="69"/>
      <c r="BD740" s="69"/>
      <c r="BE740" s="69"/>
      <c r="BF740" s="69"/>
      <c r="BG740" s="69"/>
      <c r="BH740" s="69"/>
      <c r="BI740" s="69"/>
      <c r="BJ740" s="69"/>
      <c r="BK740" s="69"/>
      <c r="BL740" s="69"/>
      <c r="BM740" s="69"/>
      <c r="BN740" s="69"/>
      <c r="BO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  <c r="AY741" s="69"/>
      <c r="AZ741" s="69"/>
      <c r="BA741" s="69"/>
      <c r="BB741" s="69"/>
      <c r="BC741" s="69"/>
      <c r="BD741" s="69"/>
      <c r="BE741" s="69"/>
      <c r="BF741" s="69"/>
      <c r="BG741" s="69"/>
      <c r="BH741" s="69"/>
      <c r="BI741" s="69"/>
      <c r="BJ741" s="69"/>
      <c r="BK741" s="69"/>
      <c r="BL741" s="69"/>
      <c r="BM741" s="69"/>
      <c r="BN741" s="69"/>
      <c r="BO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  <c r="AY742" s="69"/>
      <c r="AZ742" s="69"/>
      <c r="BA742" s="69"/>
      <c r="BB742" s="69"/>
      <c r="BC742" s="69"/>
      <c r="BD742" s="69"/>
      <c r="BE742" s="69"/>
      <c r="BF742" s="69"/>
      <c r="BG742" s="69"/>
      <c r="BH742" s="69"/>
      <c r="BI742" s="69"/>
      <c r="BJ742" s="69"/>
      <c r="BK742" s="69"/>
      <c r="BL742" s="69"/>
      <c r="BM742" s="69"/>
      <c r="BN742" s="69"/>
      <c r="BO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  <c r="AY743" s="69"/>
      <c r="AZ743" s="69"/>
      <c r="BA743" s="69"/>
      <c r="BB743" s="69"/>
      <c r="BC743" s="69"/>
      <c r="BD743" s="69"/>
      <c r="BE743" s="69"/>
      <c r="BF743" s="69"/>
      <c r="BG743" s="69"/>
      <c r="BH743" s="69"/>
      <c r="BI743" s="69"/>
      <c r="BJ743" s="69"/>
      <c r="BK743" s="69"/>
      <c r="BL743" s="69"/>
      <c r="BM743" s="69"/>
      <c r="BN743" s="69"/>
      <c r="BO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  <c r="BC744" s="69"/>
      <c r="BD744" s="69"/>
      <c r="BE744" s="69"/>
      <c r="BF744" s="69"/>
      <c r="BG744" s="69"/>
      <c r="BH744" s="69"/>
      <c r="BI744" s="69"/>
      <c r="BJ744" s="69"/>
      <c r="BK744" s="69"/>
      <c r="BL744" s="69"/>
      <c r="BM744" s="69"/>
      <c r="BN744" s="69"/>
      <c r="BO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  <c r="AY745" s="69"/>
      <c r="AZ745" s="69"/>
      <c r="BA745" s="69"/>
      <c r="BB745" s="69"/>
      <c r="BC745" s="69"/>
      <c r="BD745" s="69"/>
      <c r="BE745" s="69"/>
      <c r="BF745" s="69"/>
      <c r="BG745" s="69"/>
      <c r="BH745" s="69"/>
      <c r="BI745" s="69"/>
      <c r="BJ745" s="69"/>
      <c r="BK745" s="69"/>
      <c r="BL745" s="69"/>
      <c r="BM745" s="69"/>
      <c r="BN745" s="69"/>
      <c r="BO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  <c r="AY746" s="69"/>
      <c r="AZ746" s="69"/>
      <c r="BA746" s="69"/>
      <c r="BB746" s="69"/>
      <c r="BC746" s="69"/>
      <c r="BD746" s="69"/>
      <c r="BE746" s="69"/>
      <c r="BF746" s="69"/>
      <c r="BG746" s="69"/>
      <c r="BH746" s="69"/>
      <c r="BI746" s="69"/>
      <c r="BJ746" s="69"/>
      <c r="BK746" s="69"/>
      <c r="BL746" s="69"/>
      <c r="BM746" s="69"/>
      <c r="BN746" s="69"/>
      <c r="BO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  <c r="AY747" s="69"/>
      <c r="AZ747" s="69"/>
      <c r="BA747" s="69"/>
      <c r="BB747" s="69"/>
      <c r="BC747" s="69"/>
      <c r="BD747" s="69"/>
      <c r="BE747" s="69"/>
      <c r="BF747" s="69"/>
      <c r="BG747" s="69"/>
      <c r="BH747" s="69"/>
      <c r="BI747" s="69"/>
      <c r="BJ747" s="69"/>
      <c r="BK747" s="69"/>
      <c r="BL747" s="69"/>
      <c r="BM747" s="69"/>
      <c r="BN747" s="69"/>
      <c r="BO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  <c r="AY748" s="69"/>
      <c r="AZ748" s="69"/>
      <c r="BA748" s="69"/>
      <c r="BB748" s="69"/>
      <c r="BC748" s="69"/>
      <c r="BD748" s="69"/>
      <c r="BE748" s="69"/>
      <c r="BF748" s="69"/>
      <c r="BG748" s="69"/>
      <c r="BH748" s="69"/>
      <c r="BI748" s="69"/>
      <c r="BJ748" s="69"/>
      <c r="BK748" s="69"/>
      <c r="BL748" s="69"/>
      <c r="BM748" s="69"/>
      <c r="BN748" s="69"/>
      <c r="BO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  <c r="BC749" s="69"/>
      <c r="BD749" s="69"/>
      <c r="BE749" s="69"/>
      <c r="BF749" s="69"/>
      <c r="BG749" s="69"/>
      <c r="BH749" s="69"/>
      <c r="BI749" s="69"/>
      <c r="BJ749" s="69"/>
      <c r="BK749" s="69"/>
      <c r="BL749" s="69"/>
      <c r="BM749" s="69"/>
      <c r="BN749" s="69"/>
      <c r="BO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  <c r="AY750" s="69"/>
      <c r="AZ750" s="69"/>
      <c r="BA750" s="69"/>
      <c r="BB750" s="69"/>
      <c r="BC750" s="69"/>
      <c r="BD750" s="69"/>
      <c r="BE750" s="69"/>
      <c r="BF750" s="69"/>
      <c r="BG750" s="69"/>
      <c r="BH750" s="69"/>
      <c r="BI750" s="69"/>
      <c r="BJ750" s="69"/>
      <c r="BK750" s="69"/>
      <c r="BL750" s="69"/>
      <c r="BM750" s="69"/>
      <c r="BN750" s="69"/>
      <c r="BO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  <c r="BC751" s="69"/>
      <c r="BD751" s="69"/>
      <c r="BE751" s="69"/>
      <c r="BF751" s="69"/>
      <c r="BG751" s="69"/>
      <c r="BH751" s="69"/>
      <c r="BI751" s="69"/>
      <c r="BJ751" s="69"/>
      <c r="BK751" s="69"/>
      <c r="BL751" s="69"/>
      <c r="BM751" s="69"/>
      <c r="BN751" s="69"/>
      <c r="BO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  <c r="AY752" s="69"/>
      <c r="AZ752" s="69"/>
      <c r="BA752" s="69"/>
      <c r="BB752" s="69"/>
      <c r="BC752" s="69"/>
      <c r="BD752" s="69"/>
      <c r="BE752" s="69"/>
      <c r="BF752" s="69"/>
      <c r="BG752" s="69"/>
      <c r="BH752" s="69"/>
      <c r="BI752" s="69"/>
      <c r="BJ752" s="69"/>
      <c r="BK752" s="69"/>
      <c r="BL752" s="69"/>
      <c r="BM752" s="69"/>
      <c r="BN752" s="69"/>
      <c r="BO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  <c r="AY753" s="69"/>
      <c r="AZ753" s="69"/>
      <c r="BA753" s="69"/>
      <c r="BB753" s="69"/>
      <c r="BC753" s="69"/>
      <c r="BD753" s="69"/>
      <c r="BE753" s="69"/>
      <c r="BF753" s="69"/>
      <c r="BG753" s="69"/>
      <c r="BH753" s="69"/>
      <c r="BI753" s="69"/>
      <c r="BJ753" s="69"/>
      <c r="BK753" s="69"/>
      <c r="BL753" s="69"/>
      <c r="BM753" s="69"/>
      <c r="BN753" s="69"/>
      <c r="BO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  <c r="AY754" s="69"/>
      <c r="AZ754" s="69"/>
      <c r="BA754" s="69"/>
      <c r="BB754" s="69"/>
      <c r="BC754" s="69"/>
      <c r="BD754" s="69"/>
      <c r="BE754" s="69"/>
      <c r="BF754" s="69"/>
      <c r="BG754" s="69"/>
      <c r="BH754" s="69"/>
      <c r="BI754" s="69"/>
      <c r="BJ754" s="69"/>
      <c r="BK754" s="69"/>
      <c r="BL754" s="69"/>
      <c r="BM754" s="69"/>
      <c r="BN754" s="69"/>
      <c r="BO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  <c r="AY755" s="69"/>
      <c r="AZ755" s="69"/>
      <c r="BA755" s="69"/>
      <c r="BB755" s="69"/>
      <c r="BC755" s="69"/>
      <c r="BD755" s="69"/>
      <c r="BE755" s="69"/>
      <c r="BF755" s="69"/>
      <c r="BG755" s="69"/>
      <c r="BH755" s="69"/>
      <c r="BI755" s="69"/>
      <c r="BJ755" s="69"/>
      <c r="BK755" s="69"/>
      <c r="BL755" s="69"/>
      <c r="BM755" s="69"/>
      <c r="BN755" s="69"/>
      <c r="BO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  <c r="AY756" s="69"/>
      <c r="AZ756" s="69"/>
      <c r="BA756" s="69"/>
      <c r="BB756" s="69"/>
      <c r="BC756" s="69"/>
      <c r="BD756" s="69"/>
      <c r="BE756" s="69"/>
      <c r="BF756" s="69"/>
      <c r="BG756" s="69"/>
      <c r="BH756" s="69"/>
      <c r="BI756" s="69"/>
      <c r="BJ756" s="69"/>
      <c r="BK756" s="69"/>
      <c r="BL756" s="69"/>
      <c r="BM756" s="69"/>
      <c r="BN756" s="69"/>
      <c r="BO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  <c r="AY757" s="69"/>
      <c r="AZ757" s="69"/>
      <c r="BA757" s="69"/>
      <c r="BB757" s="69"/>
      <c r="BC757" s="69"/>
      <c r="BD757" s="69"/>
      <c r="BE757" s="69"/>
      <c r="BF757" s="69"/>
      <c r="BG757" s="69"/>
      <c r="BH757" s="69"/>
      <c r="BI757" s="69"/>
      <c r="BJ757" s="69"/>
      <c r="BK757" s="69"/>
      <c r="BL757" s="69"/>
      <c r="BM757" s="69"/>
      <c r="BN757" s="69"/>
      <c r="BO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  <c r="BC758" s="69"/>
      <c r="BD758" s="69"/>
      <c r="BE758" s="69"/>
      <c r="BF758" s="69"/>
      <c r="BG758" s="69"/>
      <c r="BH758" s="69"/>
      <c r="BI758" s="69"/>
      <c r="BJ758" s="69"/>
      <c r="BK758" s="69"/>
      <c r="BL758" s="69"/>
      <c r="BM758" s="69"/>
      <c r="BN758" s="69"/>
      <c r="BO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  <c r="AY759" s="69"/>
      <c r="AZ759" s="69"/>
      <c r="BA759" s="69"/>
      <c r="BB759" s="69"/>
      <c r="BC759" s="69"/>
      <c r="BD759" s="69"/>
      <c r="BE759" s="69"/>
      <c r="BF759" s="69"/>
      <c r="BG759" s="69"/>
      <c r="BH759" s="69"/>
      <c r="BI759" s="69"/>
      <c r="BJ759" s="69"/>
      <c r="BK759" s="69"/>
      <c r="BL759" s="69"/>
      <c r="BM759" s="69"/>
      <c r="BN759" s="69"/>
      <c r="BO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  <c r="AY760" s="69"/>
      <c r="AZ760" s="69"/>
      <c r="BA760" s="69"/>
      <c r="BB760" s="69"/>
      <c r="BC760" s="69"/>
      <c r="BD760" s="69"/>
      <c r="BE760" s="69"/>
      <c r="BF760" s="69"/>
      <c r="BG760" s="69"/>
      <c r="BH760" s="69"/>
      <c r="BI760" s="69"/>
      <c r="BJ760" s="69"/>
      <c r="BK760" s="69"/>
      <c r="BL760" s="69"/>
      <c r="BM760" s="69"/>
      <c r="BN760" s="69"/>
      <c r="BO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  <c r="BC761" s="69"/>
      <c r="BD761" s="69"/>
      <c r="BE761" s="69"/>
      <c r="BF761" s="69"/>
      <c r="BG761" s="69"/>
      <c r="BH761" s="69"/>
      <c r="BI761" s="69"/>
      <c r="BJ761" s="69"/>
      <c r="BK761" s="69"/>
      <c r="BL761" s="69"/>
      <c r="BM761" s="69"/>
      <c r="BN761" s="69"/>
      <c r="BO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  <c r="BC762" s="69"/>
      <c r="BD762" s="69"/>
      <c r="BE762" s="69"/>
      <c r="BF762" s="69"/>
      <c r="BG762" s="69"/>
      <c r="BH762" s="69"/>
      <c r="BI762" s="69"/>
      <c r="BJ762" s="69"/>
      <c r="BK762" s="69"/>
      <c r="BL762" s="69"/>
      <c r="BM762" s="69"/>
      <c r="BN762" s="69"/>
      <c r="BO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69"/>
      <c r="BH763" s="69"/>
      <c r="BI763" s="69"/>
      <c r="BJ763" s="69"/>
      <c r="BK763" s="69"/>
      <c r="BL763" s="69"/>
      <c r="BM763" s="69"/>
      <c r="BN763" s="69"/>
      <c r="BO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  <c r="BC764" s="69"/>
      <c r="BD764" s="69"/>
      <c r="BE764" s="69"/>
      <c r="BF764" s="69"/>
      <c r="BG764" s="69"/>
      <c r="BH764" s="69"/>
      <c r="BI764" s="69"/>
      <c r="BJ764" s="69"/>
      <c r="BK764" s="69"/>
      <c r="BL764" s="69"/>
      <c r="BM764" s="69"/>
      <c r="BN764" s="69"/>
      <c r="BO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69"/>
      <c r="BG765" s="69"/>
      <c r="BH765" s="69"/>
      <c r="BI765" s="69"/>
      <c r="BJ765" s="69"/>
      <c r="BK765" s="69"/>
      <c r="BL765" s="69"/>
      <c r="BM765" s="69"/>
      <c r="BN765" s="69"/>
      <c r="BO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  <c r="AY766" s="69"/>
      <c r="AZ766" s="69"/>
      <c r="BA766" s="69"/>
      <c r="BB766" s="69"/>
      <c r="BC766" s="69"/>
      <c r="BD766" s="69"/>
      <c r="BE766" s="69"/>
      <c r="BF766" s="69"/>
      <c r="BG766" s="69"/>
      <c r="BH766" s="69"/>
      <c r="BI766" s="69"/>
      <c r="BJ766" s="69"/>
      <c r="BK766" s="69"/>
      <c r="BL766" s="69"/>
      <c r="BM766" s="69"/>
      <c r="BN766" s="69"/>
      <c r="BO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  <c r="AY767" s="69"/>
      <c r="AZ767" s="69"/>
      <c r="BA767" s="69"/>
      <c r="BB767" s="69"/>
      <c r="BC767" s="69"/>
      <c r="BD767" s="69"/>
      <c r="BE767" s="69"/>
      <c r="BF767" s="69"/>
      <c r="BG767" s="69"/>
      <c r="BH767" s="69"/>
      <c r="BI767" s="69"/>
      <c r="BJ767" s="69"/>
      <c r="BK767" s="69"/>
      <c r="BL767" s="69"/>
      <c r="BM767" s="69"/>
      <c r="BN767" s="69"/>
      <c r="BO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  <c r="AY768" s="69"/>
      <c r="AZ768" s="69"/>
      <c r="BA768" s="69"/>
      <c r="BB768" s="69"/>
      <c r="BC768" s="69"/>
      <c r="BD768" s="69"/>
      <c r="BE768" s="69"/>
      <c r="BF768" s="69"/>
      <c r="BG768" s="69"/>
      <c r="BH768" s="69"/>
      <c r="BI768" s="69"/>
      <c r="BJ768" s="69"/>
      <c r="BK768" s="69"/>
      <c r="BL768" s="69"/>
      <c r="BM768" s="69"/>
      <c r="BN768" s="69"/>
      <c r="BO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  <c r="AY769" s="69"/>
      <c r="AZ769" s="69"/>
      <c r="BA769" s="69"/>
      <c r="BB769" s="69"/>
      <c r="BC769" s="69"/>
      <c r="BD769" s="69"/>
      <c r="BE769" s="69"/>
      <c r="BF769" s="69"/>
      <c r="BG769" s="69"/>
      <c r="BH769" s="69"/>
      <c r="BI769" s="69"/>
      <c r="BJ769" s="69"/>
      <c r="BK769" s="69"/>
      <c r="BL769" s="69"/>
      <c r="BM769" s="69"/>
      <c r="BN769" s="69"/>
      <c r="BO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  <c r="AY770" s="69"/>
      <c r="AZ770" s="69"/>
      <c r="BA770" s="69"/>
      <c r="BB770" s="69"/>
      <c r="BC770" s="69"/>
      <c r="BD770" s="69"/>
      <c r="BE770" s="69"/>
      <c r="BF770" s="69"/>
      <c r="BG770" s="69"/>
      <c r="BH770" s="69"/>
      <c r="BI770" s="69"/>
      <c r="BJ770" s="69"/>
      <c r="BK770" s="69"/>
      <c r="BL770" s="69"/>
      <c r="BM770" s="69"/>
      <c r="BN770" s="69"/>
      <c r="BO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  <c r="AY771" s="69"/>
      <c r="AZ771" s="69"/>
      <c r="BA771" s="69"/>
      <c r="BB771" s="69"/>
      <c r="BC771" s="69"/>
      <c r="BD771" s="69"/>
      <c r="BE771" s="69"/>
      <c r="BF771" s="69"/>
      <c r="BG771" s="69"/>
      <c r="BH771" s="69"/>
      <c r="BI771" s="69"/>
      <c r="BJ771" s="69"/>
      <c r="BK771" s="69"/>
      <c r="BL771" s="69"/>
      <c r="BM771" s="69"/>
      <c r="BN771" s="69"/>
      <c r="BO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  <c r="BC772" s="69"/>
      <c r="BD772" s="69"/>
      <c r="BE772" s="69"/>
      <c r="BF772" s="69"/>
      <c r="BG772" s="69"/>
      <c r="BH772" s="69"/>
      <c r="BI772" s="69"/>
      <c r="BJ772" s="69"/>
      <c r="BK772" s="69"/>
      <c r="BL772" s="69"/>
      <c r="BM772" s="69"/>
      <c r="BN772" s="69"/>
      <c r="BO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  <c r="AY773" s="69"/>
      <c r="AZ773" s="69"/>
      <c r="BA773" s="69"/>
      <c r="BB773" s="69"/>
      <c r="BC773" s="69"/>
      <c r="BD773" s="69"/>
      <c r="BE773" s="69"/>
      <c r="BF773" s="69"/>
      <c r="BG773" s="69"/>
      <c r="BH773" s="69"/>
      <c r="BI773" s="69"/>
      <c r="BJ773" s="69"/>
      <c r="BK773" s="69"/>
      <c r="BL773" s="69"/>
      <c r="BM773" s="69"/>
      <c r="BN773" s="69"/>
      <c r="BO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  <c r="AY774" s="69"/>
      <c r="AZ774" s="69"/>
      <c r="BA774" s="69"/>
      <c r="BB774" s="69"/>
      <c r="BC774" s="69"/>
      <c r="BD774" s="69"/>
      <c r="BE774" s="69"/>
      <c r="BF774" s="69"/>
      <c r="BG774" s="69"/>
      <c r="BH774" s="69"/>
      <c r="BI774" s="69"/>
      <c r="BJ774" s="69"/>
      <c r="BK774" s="69"/>
      <c r="BL774" s="69"/>
      <c r="BM774" s="69"/>
      <c r="BN774" s="69"/>
      <c r="BO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  <c r="AY775" s="69"/>
      <c r="AZ775" s="69"/>
      <c r="BA775" s="69"/>
      <c r="BB775" s="69"/>
      <c r="BC775" s="69"/>
      <c r="BD775" s="69"/>
      <c r="BE775" s="69"/>
      <c r="BF775" s="69"/>
      <c r="BG775" s="69"/>
      <c r="BH775" s="69"/>
      <c r="BI775" s="69"/>
      <c r="BJ775" s="69"/>
      <c r="BK775" s="69"/>
      <c r="BL775" s="69"/>
      <c r="BM775" s="69"/>
      <c r="BN775" s="69"/>
      <c r="BO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  <c r="AY776" s="69"/>
      <c r="AZ776" s="69"/>
      <c r="BA776" s="69"/>
      <c r="BB776" s="69"/>
      <c r="BC776" s="69"/>
      <c r="BD776" s="69"/>
      <c r="BE776" s="69"/>
      <c r="BF776" s="69"/>
      <c r="BG776" s="69"/>
      <c r="BH776" s="69"/>
      <c r="BI776" s="69"/>
      <c r="BJ776" s="69"/>
      <c r="BK776" s="69"/>
      <c r="BL776" s="69"/>
      <c r="BM776" s="69"/>
      <c r="BN776" s="69"/>
      <c r="BO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  <c r="AY777" s="69"/>
      <c r="AZ777" s="69"/>
      <c r="BA777" s="69"/>
      <c r="BB777" s="69"/>
      <c r="BC777" s="69"/>
      <c r="BD777" s="69"/>
      <c r="BE777" s="69"/>
      <c r="BF777" s="69"/>
      <c r="BG777" s="69"/>
      <c r="BH777" s="69"/>
      <c r="BI777" s="69"/>
      <c r="BJ777" s="69"/>
      <c r="BK777" s="69"/>
      <c r="BL777" s="69"/>
      <c r="BM777" s="69"/>
      <c r="BN777" s="69"/>
      <c r="BO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  <c r="AY778" s="69"/>
      <c r="AZ778" s="69"/>
      <c r="BA778" s="69"/>
      <c r="BB778" s="69"/>
      <c r="BC778" s="69"/>
      <c r="BD778" s="69"/>
      <c r="BE778" s="69"/>
      <c r="BF778" s="69"/>
      <c r="BG778" s="69"/>
      <c r="BH778" s="69"/>
      <c r="BI778" s="69"/>
      <c r="BJ778" s="69"/>
      <c r="BK778" s="69"/>
      <c r="BL778" s="69"/>
      <c r="BM778" s="69"/>
      <c r="BN778" s="69"/>
      <c r="BO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  <c r="BC779" s="69"/>
      <c r="BD779" s="69"/>
      <c r="BE779" s="69"/>
      <c r="BF779" s="69"/>
      <c r="BG779" s="69"/>
      <c r="BH779" s="69"/>
      <c r="BI779" s="69"/>
      <c r="BJ779" s="69"/>
      <c r="BK779" s="69"/>
      <c r="BL779" s="69"/>
      <c r="BM779" s="69"/>
      <c r="BN779" s="69"/>
      <c r="BO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  <c r="AY780" s="69"/>
      <c r="AZ780" s="69"/>
      <c r="BA780" s="69"/>
      <c r="BB780" s="69"/>
      <c r="BC780" s="69"/>
      <c r="BD780" s="69"/>
      <c r="BE780" s="69"/>
      <c r="BF780" s="69"/>
      <c r="BG780" s="69"/>
      <c r="BH780" s="69"/>
      <c r="BI780" s="69"/>
      <c r="BJ780" s="69"/>
      <c r="BK780" s="69"/>
      <c r="BL780" s="69"/>
      <c r="BM780" s="69"/>
      <c r="BN780" s="69"/>
      <c r="BO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69"/>
      <c r="BG781" s="69"/>
      <c r="BH781" s="69"/>
      <c r="BI781" s="69"/>
      <c r="BJ781" s="69"/>
      <c r="BK781" s="69"/>
      <c r="BL781" s="69"/>
      <c r="BM781" s="69"/>
      <c r="BN781" s="69"/>
      <c r="BO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  <c r="AY782" s="69"/>
      <c r="AZ782" s="69"/>
      <c r="BA782" s="69"/>
      <c r="BB782" s="69"/>
      <c r="BC782" s="69"/>
      <c r="BD782" s="69"/>
      <c r="BE782" s="69"/>
      <c r="BF782" s="69"/>
      <c r="BG782" s="69"/>
      <c r="BH782" s="69"/>
      <c r="BI782" s="69"/>
      <c r="BJ782" s="69"/>
      <c r="BK782" s="69"/>
      <c r="BL782" s="69"/>
      <c r="BM782" s="69"/>
      <c r="BN782" s="69"/>
      <c r="BO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  <c r="AY783" s="69"/>
      <c r="AZ783" s="69"/>
      <c r="BA783" s="69"/>
      <c r="BB783" s="69"/>
      <c r="BC783" s="69"/>
      <c r="BD783" s="69"/>
      <c r="BE783" s="69"/>
      <c r="BF783" s="69"/>
      <c r="BG783" s="69"/>
      <c r="BH783" s="69"/>
      <c r="BI783" s="69"/>
      <c r="BJ783" s="69"/>
      <c r="BK783" s="69"/>
      <c r="BL783" s="69"/>
      <c r="BM783" s="69"/>
      <c r="BN783" s="69"/>
      <c r="BO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  <c r="AY784" s="69"/>
      <c r="AZ784" s="69"/>
      <c r="BA784" s="69"/>
      <c r="BB784" s="69"/>
      <c r="BC784" s="69"/>
      <c r="BD784" s="69"/>
      <c r="BE784" s="69"/>
      <c r="BF784" s="69"/>
      <c r="BG784" s="69"/>
      <c r="BH784" s="69"/>
      <c r="BI784" s="69"/>
      <c r="BJ784" s="69"/>
      <c r="BK784" s="69"/>
      <c r="BL784" s="69"/>
      <c r="BM784" s="69"/>
      <c r="BN784" s="69"/>
      <c r="BO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  <c r="AY785" s="69"/>
      <c r="AZ785" s="69"/>
      <c r="BA785" s="69"/>
      <c r="BB785" s="69"/>
      <c r="BC785" s="69"/>
      <c r="BD785" s="69"/>
      <c r="BE785" s="69"/>
      <c r="BF785" s="69"/>
      <c r="BG785" s="69"/>
      <c r="BH785" s="69"/>
      <c r="BI785" s="69"/>
      <c r="BJ785" s="69"/>
      <c r="BK785" s="69"/>
      <c r="BL785" s="69"/>
      <c r="BM785" s="69"/>
      <c r="BN785" s="69"/>
      <c r="BO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69"/>
      <c r="BG786" s="69"/>
      <c r="BH786" s="69"/>
      <c r="BI786" s="69"/>
      <c r="BJ786" s="69"/>
      <c r="BK786" s="69"/>
      <c r="BL786" s="69"/>
      <c r="BM786" s="69"/>
      <c r="BN786" s="69"/>
      <c r="BO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  <c r="AY787" s="69"/>
      <c r="AZ787" s="69"/>
      <c r="BA787" s="69"/>
      <c r="BB787" s="69"/>
      <c r="BC787" s="69"/>
      <c r="BD787" s="69"/>
      <c r="BE787" s="69"/>
      <c r="BF787" s="69"/>
      <c r="BG787" s="69"/>
      <c r="BH787" s="69"/>
      <c r="BI787" s="69"/>
      <c r="BJ787" s="69"/>
      <c r="BK787" s="69"/>
      <c r="BL787" s="69"/>
      <c r="BM787" s="69"/>
      <c r="BN787" s="69"/>
      <c r="BO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  <c r="AY788" s="69"/>
      <c r="AZ788" s="69"/>
      <c r="BA788" s="69"/>
      <c r="BB788" s="69"/>
      <c r="BC788" s="69"/>
      <c r="BD788" s="69"/>
      <c r="BE788" s="69"/>
      <c r="BF788" s="69"/>
      <c r="BG788" s="69"/>
      <c r="BH788" s="69"/>
      <c r="BI788" s="69"/>
      <c r="BJ788" s="69"/>
      <c r="BK788" s="69"/>
      <c r="BL788" s="69"/>
      <c r="BM788" s="69"/>
      <c r="BN788" s="69"/>
      <c r="BO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  <c r="AY789" s="69"/>
      <c r="AZ789" s="69"/>
      <c r="BA789" s="69"/>
      <c r="BB789" s="69"/>
      <c r="BC789" s="69"/>
      <c r="BD789" s="69"/>
      <c r="BE789" s="69"/>
      <c r="BF789" s="69"/>
      <c r="BG789" s="69"/>
      <c r="BH789" s="69"/>
      <c r="BI789" s="69"/>
      <c r="BJ789" s="69"/>
      <c r="BK789" s="69"/>
      <c r="BL789" s="69"/>
      <c r="BM789" s="69"/>
      <c r="BN789" s="69"/>
      <c r="BO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  <c r="AY790" s="69"/>
      <c r="AZ790" s="69"/>
      <c r="BA790" s="69"/>
      <c r="BB790" s="69"/>
      <c r="BC790" s="69"/>
      <c r="BD790" s="69"/>
      <c r="BE790" s="69"/>
      <c r="BF790" s="69"/>
      <c r="BG790" s="69"/>
      <c r="BH790" s="69"/>
      <c r="BI790" s="69"/>
      <c r="BJ790" s="69"/>
      <c r="BK790" s="69"/>
      <c r="BL790" s="69"/>
      <c r="BM790" s="69"/>
      <c r="BN790" s="69"/>
      <c r="BO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  <c r="AY791" s="69"/>
      <c r="AZ791" s="69"/>
      <c r="BA791" s="69"/>
      <c r="BB791" s="69"/>
      <c r="BC791" s="69"/>
      <c r="BD791" s="69"/>
      <c r="BE791" s="69"/>
      <c r="BF791" s="69"/>
      <c r="BG791" s="69"/>
      <c r="BH791" s="69"/>
      <c r="BI791" s="69"/>
      <c r="BJ791" s="69"/>
      <c r="BK791" s="69"/>
      <c r="BL791" s="69"/>
      <c r="BM791" s="69"/>
      <c r="BN791" s="69"/>
      <c r="BO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  <c r="AY792" s="69"/>
      <c r="AZ792" s="69"/>
      <c r="BA792" s="69"/>
      <c r="BB792" s="69"/>
      <c r="BC792" s="69"/>
      <c r="BD792" s="69"/>
      <c r="BE792" s="69"/>
      <c r="BF792" s="69"/>
      <c r="BG792" s="69"/>
      <c r="BH792" s="69"/>
      <c r="BI792" s="69"/>
      <c r="BJ792" s="69"/>
      <c r="BK792" s="69"/>
      <c r="BL792" s="69"/>
      <c r="BM792" s="69"/>
      <c r="BN792" s="69"/>
      <c r="BO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  <c r="BC793" s="69"/>
      <c r="BD793" s="69"/>
      <c r="BE793" s="69"/>
      <c r="BF793" s="69"/>
      <c r="BG793" s="69"/>
      <c r="BH793" s="69"/>
      <c r="BI793" s="69"/>
      <c r="BJ793" s="69"/>
      <c r="BK793" s="69"/>
      <c r="BL793" s="69"/>
      <c r="BM793" s="69"/>
      <c r="BN793" s="69"/>
      <c r="BO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  <c r="AY794" s="69"/>
      <c r="AZ794" s="69"/>
      <c r="BA794" s="69"/>
      <c r="BB794" s="69"/>
      <c r="BC794" s="69"/>
      <c r="BD794" s="69"/>
      <c r="BE794" s="69"/>
      <c r="BF794" s="69"/>
      <c r="BG794" s="69"/>
      <c r="BH794" s="69"/>
      <c r="BI794" s="69"/>
      <c r="BJ794" s="69"/>
      <c r="BK794" s="69"/>
      <c r="BL794" s="69"/>
      <c r="BM794" s="69"/>
      <c r="BN794" s="69"/>
      <c r="BO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  <c r="AY795" s="69"/>
      <c r="AZ795" s="69"/>
      <c r="BA795" s="69"/>
      <c r="BB795" s="69"/>
      <c r="BC795" s="69"/>
      <c r="BD795" s="69"/>
      <c r="BE795" s="69"/>
      <c r="BF795" s="69"/>
      <c r="BG795" s="69"/>
      <c r="BH795" s="69"/>
      <c r="BI795" s="69"/>
      <c r="BJ795" s="69"/>
      <c r="BK795" s="69"/>
      <c r="BL795" s="69"/>
      <c r="BM795" s="69"/>
      <c r="BN795" s="69"/>
      <c r="BO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  <c r="AY796" s="69"/>
      <c r="AZ796" s="69"/>
      <c r="BA796" s="69"/>
      <c r="BB796" s="69"/>
      <c r="BC796" s="69"/>
      <c r="BD796" s="69"/>
      <c r="BE796" s="69"/>
      <c r="BF796" s="69"/>
      <c r="BG796" s="69"/>
      <c r="BH796" s="69"/>
      <c r="BI796" s="69"/>
      <c r="BJ796" s="69"/>
      <c r="BK796" s="69"/>
      <c r="BL796" s="69"/>
      <c r="BM796" s="69"/>
      <c r="BN796" s="69"/>
      <c r="BO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  <c r="AY797" s="69"/>
      <c r="AZ797" s="69"/>
      <c r="BA797" s="69"/>
      <c r="BB797" s="69"/>
      <c r="BC797" s="69"/>
      <c r="BD797" s="69"/>
      <c r="BE797" s="69"/>
      <c r="BF797" s="69"/>
      <c r="BG797" s="69"/>
      <c r="BH797" s="69"/>
      <c r="BI797" s="69"/>
      <c r="BJ797" s="69"/>
      <c r="BK797" s="69"/>
      <c r="BL797" s="69"/>
      <c r="BM797" s="69"/>
      <c r="BN797" s="69"/>
      <c r="BO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  <c r="AY798" s="69"/>
      <c r="AZ798" s="69"/>
      <c r="BA798" s="69"/>
      <c r="BB798" s="69"/>
      <c r="BC798" s="69"/>
      <c r="BD798" s="69"/>
      <c r="BE798" s="69"/>
      <c r="BF798" s="69"/>
      <c r="BG798" s="69"/>
      <c r="BH798" s="69"/>
      <c r="BI798" s="69"/>
      <c r="BJ798" s="69"/>
      <c r="BK798" s="69"/>
      <c r="BL798" s="69"/>
      <c r="BM798" s="69"/>
      <c r="BN798" s="69"/>
      <c r="BO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  <c r="AY799" s="69"/>
      <c r="AZ799" s="69"/>
      <c r="BA799" s="69"/>
      <c r="BB799" s="69"/>
      <c r="BC799" s="69"/>
      <c r="BD799" s="69"/>
      <c r="BE799" s="69"/>
      <c r="BF799" s="69"/>
      <c r="BG799" s="69"/>
      <c r="BH799" s="69"/>
      <c r="BI799" s="69"/>
      <c r="BJ799" s="69"/>
      <c r="BK799" s="69"/>
      <c r="BL799" s="69"/>
      <c r="BM799" s="69"/>
      <c r="BN799" s="69"/>
      <c r="BO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  <c r="BC800" s="69"/>
      <c r="BD800" s="69"/>
      <c r="BE800" s="69"/>
      <c r="BF800" s="69"/>
      <c r="BG800" s="69"/>
      <c r="BH800" s="69"/>
      <c r="BI800" s="69"/>
      <c r="BJ800" s="69"/>
      <c r="BK800" s="69"/>
      <c r="BL800" s="69"/>
      <c r="BM800" s="69"/>
      <c r="BN800" s="69"/>
      <c r="BO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  <c r="AY801" s="69"/>
      <c r="AZ801" s="69"/>
      <c r="BA801" s="69"/>
      <c r="BB801" s="69"/>
      <c r="BC801" s="69"/>
      <c r="BD801" s="69"/>
      <c r="BE801" s="69"/>
      <c r="BF801" s="69"/>
      <c r="BG801" s="69"/>
      <c r="BH801" s="69"/>
      <c r="BI801" s="69"/>
      <c r="BJ801" s="69"/>
      <c r="BK801" s="69"/>
      <c r="BL801" s="69"/>
      <c r="BM801" s="69"/>
      <c r="BN801" s="69"/>
      <c r="BO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  <c r="AY802" s="69"/>
      <c r="AZ802" s="69"/>
      <c r="BA802" s="69"/>
      <c r="BB802" s="69"/>
      <c r="BC802" s="69"/>
      <c r="BD802" s="69"/>
      <c r="BE802" s="69"/>
      <c r="BF802" s="69"/>
      <c r="BG802" s="69"/>
      <c r="BH802" s="69"/>
      <c r="BI802" s="69"/>
      <c r="BJ802" s="69"/>
      <c r="BK802" s="69"/>
      <c r="BL802" s="69"/>
      <c r="BM802" s="69"/>
      <c r="BN802" s="69"/>
      <c r="BO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69"/>
      <c r="BH803" s="69"/>
      <c r="BI803" s="69"/>
      <c r="BJ803" s="69"/>
      <c r="BK803" s="69"/>
      <c r="BL803" s="69"/>
      <c r="BM803" s="69"/>
      <c r="BN803" s="69"/>
      <c r="BO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  <c r="AY804" s="69"/>
      <c r="AZ804" s="69"/>
      <c r="BA804" s="69"/>
      <c r="BB804" s="69"/>
      <c r="BC804" s="69"/>
      <c r="BD804" s="69"/>
      <c r="BE804" s="69"/>
      <c r="BF804" s="69"/>
      <c r="BG804" s="69"/>
      <c r="BH804" s="69"/>
      <c r="BI804" s="69"/>
      <c r="BJ804" s="69"/>
      <c r="BK804" s="69"/>
      <c r="BL804" s="69"/>
      <c r="BM804" s="69"/>
      <c r="BN804" s="69"/>
      <c r="BO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  <c r="AY805" s="69"/>
      <c r="AZ805" s="69"/>
      <c r="BA805" s="69"/>
      <c r="BB805" s="69"/>
      <c r="BC805" s="69"/>
      <c r="BD805" s="69"/>
      <c r="BE805" s="69"/>
      <c r="BF805" s="69"/>
      <c r="BG805" s="69"/>
      <c r="BH805" s="69"/>
      <c r="BI805" s="69"/>
      <c r="BJ805" s="69"/>
      <c r="BK805" s="69"/>
      <c r="BL805" s="69"/>
      <c r="BM805" s="69"/>
      <c r="BN805" s="69"/>
      <c r="BO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  <c r="AY806" s="69"/>
      <c r="AZ806" s="69"/>
      <c r="BA806" s="69"/>
      <c r="BB806" s="69"/>
      <c r="BC806" s="69"/>
      <c r="BD806" s="69"/>
      <c r="BE806" s="69"/>
      <c r="BF806" s="69"/>
      <c r="BG806" s="69"/>
      <c r="BH806" s="69"/>
      <c r="BI806" s="69"/>
      <c r="BJ806" s="69"/>
      <c r="BK806" s="69"/>
      <c r="BL806" s="69"/>
      <c r="BM806" s="69"/>
      <c r="BN806" s="69"/>
      <c r="BO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  <c r="AY807" s="69"/>
      <c r="AZ807" s="69"/>
      <c r="BA807" s="69"/>
      <c r="BB807" s="69"/>
      <c r="BC807" s="69"/>
      <c r="BD807" s="69"/>
      <c r="BE807" s="69"/>
      <c r="BF807" s="69"/>
      <c r="BG807" s="69"/>
      <c r="BH807" s="69"/>
      <c r="BI807" s="69"/>
      <c r="BJ807" s="69"/>
      <c r="BK807" s="69"/>
      <c r="BL807" s="69"/>
      <c r="BM807" s="69"/>
      <c r="BN807" s="69"/>
      <c r="BO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  <c r="AY808" s="69"/>
      <c r="AZ808" s="69"/>
      <c r="BA808" s="69"/>
      <c r="BB808" s="69"/>
      <c r="BC808" s="69"/>
      <c r="BD808" s="69"/>
      <c r="BE808" s="69"/>
      <c r="BF808" s="69"/>
      <c r="BG808" s="69"/>
      <c r="BH808" s="69"/>
      <c r="BI808" s="69"/>
      <c r="BJ808" s="69"/>
      <c r="BK808" s="69"/>
      <c r="BL808" s="69"/>
      <c r="BM808" s="69"/>
      <c r="BN808" s="69"/>
      <c r="BO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  <c r="AY809" s="69"/>
      <c r="AZ809" s="69"/>
      <c r="BA809" s="69"/>
      <c r="BB809" s="69"/>
      <c r="BC809" s="69"/>
      <c r="BD809" s="69"/>
      <c r="BE809" s="69"/>
      <c r="BF809" s="69"/>
      <c r="BG809" s="69"/>
      <c r="BH809" s="69"/>
      <c r="BI809" s="69"/>
      <c r="BJ809" s="69"/>
      <c r="BK809" s="69"/>
      <c r="BL809" s="69"/>
      <c r="BM809" s="69"/>
      <c r="BN809" s="69"/>
      <c r="BO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  <c r="AY810" s="69"/>
      <c r="AZ810" s="69"/>
      <c r="BA810" s="69"/>
      <c r="BB810" s="69"/>
      <c r="BC810" s="69"/>
      <c r="BD810" s="69"/>
      <c r="BE810" s="69"/>
      <c r="BF810" s="69"/>
      <c r="BG810" s="69"/>
      <c r="BH810" s="69"/>
      <c r="BI810" s="69"/>
      <c r="BJ810" s="69"/>
      <c r="BK810" s="69"/>
      <c r="BL810" s="69"/>
      <c r="BM810" s="69"/>
      <c r="BN810" s="69"/>
      <c r="BO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  <c r="AY811" s="69"/>
      <c r="AZ811" s="69"/>
      <c r="BA811" s="69"/>
      <c r="BB811" s="69"/>
      <c r="BC811" s="69"/>
      <c r="BD811" s="69"/>
      <c r="BE811" s="69"/>
      <c r="BF811" s="69"/>
      <c r="BG811" s="69"/>
      <c r="BH811" s="69"/>
      <c r="BI811" s="69"/>
      <c r="BJ811" s="69"/>
      <c r="BK811" s="69"/>
      <c r="BL811" s="69"/>
      <c r="BM811" s="69"/>
      <c r="BN811" s="69"/>
      <c r="BO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  <c r="AY812" s="69"/>
      <c r="AZ812" s="69"/>
      <c r="BA812" s="69"/>
      <c r="BB812" s="69"/>
      <c r="BC812" s="69"/>
      <c r="BD812" s="69"/>
      <c r="BE812" s="69"/>
      <c r="BF812" s="69"/>
      <c r="BG812" s="69"/>
      <c r="BH812" s="69"/>
      <c r="BI812" s="69"/>
      <c r="BJ812" s="69"/>
      <c r="BK812" s="69"/>
      <c r="BL812" s="69"/>
      <c r="BM812" s="69"/>
      <c r="BN812" s="69"/>
      <c r="BO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  <c r="AY813" s="69"/>
      <c r="AZ813" s="69"/>
      <c r="BA813" s="69"/>
      <c r="BB813" s="69"/>
      <c r="BC813" s="69"/>
      <c r="BD813" s="69"/>
      <c r="BE813" s="69"/>
      <c r="BF813" s="69"/>
      <c r="BG813" s="69"/>
      <c r="BH813" s="69"/>
      <c r="BI813" s="69"/>
      <c r="BJ813" s="69"/>
      <c r="BK813" s="69"/>
      <c r="BL813" s="69"/>
      <c r="BM813" s="69"/>
      <c r="BN813" s="69"/>
      <c r="BO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  <c r="AY814" s="69"/>
      <c r="AZ814" s="69"/>
      <c r="BA814" s="69"/>
      <c r="BB814" s="69"/>
      <c r="BC814" s="69"/>
      <c r="BD814" s="69"/>
      <c r="BE814" s="69"/>
      <c r="BF814" s="69"/>
      <c r="BG814" s="69"/>
      <c r="BH814" s="69"/>
      <c r="BI814" s="69"/>
      <c r="BJ814" s="69"/>
      <c r="BK814" s="69"/>
      <c r="BL814" s="69"/>
      <c r="BM814" s="69"/>
      <c r="BN814" s="69"/>
      <c r="BO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  <c r="AY815" s="69"/>
      <c r="AZ815" s="69"/>
      <c r="BA815" s="69"/>
      <c r="BB815" s="69"/>
      <c r="BC815" s="69"/>
      <c r="BD815" s="69"/>
      <c r="BE815" s="69"/>
      <c r="BF815" s="69"/>
      <c r="BG815" s="69"/>
      <c r="BH815" s="69"/>
      <c r="BI815" s="69"/>
      <c r="BJ815" s="69"/>
      <c r="BK815" s="69"/>
      <c r="BL815" s="69"/>
      <c r="BM815" s="69"/>
      <c r="BN815" s="69"/>
      <c r="BO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  <c r="AY816" s="69"/>
      <c r="AZ816" s="69"/>
      <c r="BA816" s="69"/>
      <c r="BB816" s="69"/>
      <c r="BC816" s="69"/>
      <c r="BD816" s="69"/>
      <c r="BE816" s="69"/>
      <c r="BF816" s="69"/>
      <c r="BG816" s="69"/>
      <c r="BH816" s="69"/>
      <c r="BI816" s="69"/>
      <c r="BJ816" s="69"/>
      <c r="BK816" s="69"/>
      <c r="BL816" s="69"/>
      <c r="BM816" s="69"/>
      <c r="BN816" s="69"/>
      <c r="BO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  <c r="AY817" s="69"/>
      <c r="AZ817" s="69"/>
      <c r="BA817" s="69"/>
      <c r="BB817" s="69"/>
      <c r="BC817" s="69"/>
      <c r="BD817" s="69"/>
      <c r="BE817" s="69"/>
      <c r="BF817" s="69"/>
      <c r="BG817" s="69"/>
      <c r="BH817" s="69"/>
      <c r="BI817" s="69"/>
      <c r="BJ817" s="69"/>
      <c r="BK817" s="69"/>
      <c r="BL817" s="69"/>
      <c r="BM817" s="69"/>
      <c r="BN817" s="69"/>
      <c r="BO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  <c r="AY818" s="69"/>
      <c r="AZ818" s="69"/>
      <c r="BA818" s="69"/>
      <c r="BB818" s="69"/>
      <c r="BC818" s="69"/>
      <c r="BD818" s="69"/>
      <c r="BE818" s="69"/>
      <c r="BF818" s="69"/>
      <c r="BG818" s="69"/>
      <c r="BH818" s="69"/>
      <c r="BI818" s="69"/>
      <c r="BJ818" s="69"/>
      <c r="BK818" s="69"/>
      <c r="BL818" s="69"/>
      <c r="BM818" s="69"/>
      <c r="BN818" s="69"/>
      <c r="BO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  <c r="AY819" s="69"/>
      <c r="AZ819" s="69"/>
      <c r="BA819" s="69"/>
      <c r="BB819" s="69"/>
      <c r="BC819" s="69"/>
      <c r="BD819" s="69"/>
      <c r="BE819" s="69"/>
      <c r="BF819" s="69"/>
      <c r="BG819" s="69"/>
      <c r="BH819" s="69"/>
      <c r="BI819" s="69"/>
      <c r="BJ819" s="69"/>
      <c r="BK819" s="69"/>
      <c r="BL819" s="69"/>
      <c r="BM819" s="69"/>
      <c r="BN819" s="69"/>
      <c r="BO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  <c r="AY820" s="69"/>
      <c r="AZ820" s="69"/>
      <c r="BA820" s="69"/>
      <c r="BB820" s="69"/>
      <c r="BC820" s="69"/>
      <c r="BD820" s="69"/>
      <c r="BE820" s="69"/>
      <c r="BF820" s="69"/>
      <c r="BG820" s="69"/>
      <c r="BH820" s="69"/>
      <c r="BI820" s="69"/>
      <c r="BJ820" s="69"/>
      <c r="BK820" s="69"/>
      <c r="BL820" s="69"/>
      <c r="BM820" s="69"/>
      <c r="BN820" s="69"/>
      <c r="BO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  <c r="AY821" s="69"/>
      <c r="AZ821" s="69"/>
      <c r="BA821" s="69"/>
      <c r="BB821" s="69"/>
      <c r="BC821" s="69"/>
      <c r="BD821" s="69"/>
      <c r="BE821" s="69"/>
      <c r="BF821" s="69"/>
      <c r="BG821" s="69"/>
      <c r="BH821" s="69"/>
      <c r="BI821" s="69"/>
      <c r="BJ821" s="69"/>
      <c r="BK821" s="69"/>
      <c r="BL821" s="69"/>
      <c r="BM821" s="69"/>
      <c r="BN821" s="69"/>
      <c r="BO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  <c r="AY822" s="69"/>
      <c r="AZ822" s="69"/>
      <c r="BA822" s="69"/>
      <c r="BB822" s="69"/>
      <c r="BC822" s="69"/>
      <c r="BD822" s="69"/>
      <c r="BE822" s="69"/>
      <c r="BF822" s="69"/>
      <c r="BG822" s="69"/>
      <c r="BH822" s="69"/>
      <c r="BI822" s="69"/>
      <c r="BJ822" s="69"/>
      <c r="BK822" s="69"/>
      <c r="BL822" s="69"/>
      <c r="BM822" s="69"/>
      <c r="BN822" s="69"/>
      <c r="BO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  <c r="AY823" s="69"/>
      <c r="AZ823" s="69"/>
      <c r="BA823" s="69"/>
      <c r="BB823" s="69"/>
      <c r="BC823" s="69"/>
      <c r="BD823" s="69"/>
      <c r="BE823" s="69"/>
      <c r="BF823" s="69"/>
      <c r="BG823" s="69"/>
      <c r="BH823" s="69"/>
      <c r="BI823" s="69"/>
      <c r="BJ823" s="69"/>
      <c r="BK823" s="69"/>
      <c r="BL823" s="69"/>
      <c r="BM823" s="69"/>
      <c r="BN823" s="69"/>
      <c r="BO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  <c r="AY824" s="69"/>
      <c r="AZ824" s="69"/>
      <c r="BA824" s="69"/>
      <c r="BB824" s="69"/>
      <c r="BC824" s="69"/>
      <c r="BD824" s="69"/>
      <c r="BE824" s="69"/>
      <c r="BF824" s="69"/>
      <c r="BG824" s="69"/>
      <c r="BH824" s="69"/>
      <c r="BI824" s="69"/>
      <c r="BJ824" s="69"/>
      <c r="BK824" s="69"/>
      <c r="BL824" s="69"/>
      <c r="BM824" s="69"/>
      <c r="BN824" s="69"/>
      <c r="BO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  <c r="AY825" s="69"/>
      <c r="AZ825" s="69"/>
      <c r="BA825" s="69"/>
      <c r="BB825" s="69"/>
      <c r="BC825" s="69"/>
      <c r="BD825" s="69"/>
      <c r="BE825" s="69"/>
      <c r="BF825" s="69"/>
      <c r="BG825" s="69"/>
      <c r="BH825" s="69"/>
      <c r="BI825" s="69"/>
      <c r="BJ825" s="69"/>
      <c r="BK825" s="69"/>
      <c r="BL825" s="69"/>
      <c r="BM825" s="69"/>
      <c r="BN825" s="69"/>
      <c r="BO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  <c r="AY826" s="69"/>
      <c r="AZ826" s="69"/>
      <c r="BA826" s="69"/>
      <c r="BB826" s="69"/>
      <c r="BC826" s="69"/>
      <c r="BD826" s="69"/>
      <c r="BE826" s="69"/>
      <c r="BF826" s="69"/>
      <c r="BG826" s="69"/>
      <c r="BH826" s="69"/>
      <c r="BI826" s="69"/>
      <c r="BJ826" s="69"/>
      <c r="BK826" s="69"/>
      <c r="BL826" s="69"/>
      <c r="BM826" s="69"/>
      <c r="BN826" s="69"/>
      <c r="BO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  <c r="AY827" s="69"/>
      <c r="AZ827" s="69"/>
      <c r="BA827" s="69"/>
      <c r="BB827" s="69"/>
      <c r="BC827" s="69"/>
      <c r="BD827" s="69"/>
      <c r="BE827" s="69"/>
      <c r="BF827" s="69"/>
      <c r="BG827" s="69"/>
      <c r="BH827" s="69"/>
      <c r="BI827" s="69"/>
      <c r="BJ827" s="69"/>
      <c r="BK827" s="69"/>
      <c r="BL827" s="69"/>
      <c r="BM827" s="69"/>
      <c r="BN827" s="69"/>
      <c r="BO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  <c r="AY828" s="69"/>
      <c r="AZ828" s="69"/>
      <c r="BA828" s="69"/>
      <c r="BB828" s="69"/>
      <c r="BC828" s="69"/>
      <c r="BD828" s="69"/>
      <c r="BE828" s="69"/>
      <c r="BF828" s="69"/>
      <c r="BG828" s="69"/>
      <c r="BH828" s="69"/>
      <c r="BI828" s="69"/>
      <c r="BJ828" s="69"/>
      <c r="BK828" s="69"/>
      <c r="BL828" s="69"/>
      <c r="BM828" s="69"/>
      <c r="BN828" s="69"/>
      <c r="BO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  <c r="AY829" s="69"/>
      <c r="AZ829" s="69"/>
      <c r="BA829" s="69"/>
      <c r="BB829" s="69"/>
      <c r="BC829" s="69"/>
      <c r="BD829" s="69"/>
      <c r="BE829" s="69"/>
      <c r="BF829" s="69"/>
      <c r="BG829" s="69"/>
      <c r="BH829" s="69"/>
      <c r="BI829" s="69"/>
      <c r="BJ829" s="69"/>
      <c r="BK829" s="69"/>
      <c r="BL829" s="69"/>
      <c r="BM829" s="69"/>
      <c r="BN829" s="69"/>
      <c r="BO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  <c r="AY830" s="69"/>
      <c r="AZ830" s="69"/>
      <c r="BA830" s="69"/>
      <c r="BB830" s="69"/>
      <c r="BC830" s="69"/>
      <c r="BD830" s="69"/>
      <c r="BE830" s="69"/>
      <c r="BF830" s="69"/>
      <c r="BG830" s="69"/>
      <c r="BH830" s="69"/>
      <c r="BI830" s="69"/>
      <c r="BJ830" s="69"/>
      <c r="BK830" s="69"/>
      <c r="BL830" s="69"/>
      <c r="BM830" s="69"/>
      <c r="BN830" s="69"/>
      <c r="BO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  <c r="AY831" s="69"/>
      <c r="AZ831" s="69"/>
      <c r="BA831" s="69"/>
      <c r="BB831" s="69"/>
      <c r="BC831" s="69"/>
      <c r="BD831" s="69"/>
      <c r="BE831" s="69"/>
      <c r="BF831" s="69"/>
      <c r="BG831" s="69"/>
      <c r="BH831" s="69"/>
      <c r="BI831" s="69"/>
      <c r="BJ831" s="69"/>
      <c r="BK831" s="69"/>
      <c r="BL831" s="69"/>
      <c r="BM831" s="69"/>
      <c r="BN831" s="69"/>
      <c r="BO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  <c r="AY832" s="69"/>
      <c r="AZ832" s="69"/>
      <c r="BA832" s="69"/>
      <c r="BB832" s="69"/>
      <c r="BC832" s="69"/>
      <c r="BD832" s="69"/>
      <c r="BE832" s="69"/>
      <c r="BF832" s="69"/>
      <c r="BG832" s="69"/>
      <c r="BH832" s="69"/>
      <c r="BI832" s="69"/>
      <c r="BJ832" s="69"/>
      <c r="BK832" s="69"/>
      <c r="BL832" s="69"/>
      <c r="BM832" s="69"/>
      <c r="BN832" s="69"/>
      <c r="BO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  <c r="AY833" s="69"/>
      <c r="AZ833" s="69"/>
      <c r="BA833" s="69"/>
      <c r="BB833" s="69"/>
      <c r="BC833" s="69"/>
      <c r="BD833" s="69"/>
      <c r="BE833" s="69"/>
      <c r="BF833" s="69"/>
      <c r="BG833" s="69"/>
      <c r="BH833" s="69"/>
      <c r="BI833" s="69"/>
      <c r="BJ833" s="69"/>
      <c r="BK833" s="69"/>
      <c r="BL833" s="69"/>
      <c r="BM833" s="69"/>
      <c r="BN833" s="69"/>
      <c r="BO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  <c r="AY834" s="69"/>
      <c r="AZ834" s="69"/>
      <c r="BA834" s="69"/>
      <c r="BB834" s="69"/>
      <c r="BC834" s="69"/>
      <c r="BD834" s="69"/>
      <c r="BE834" s="69"/>
      <c r="BF834" s="69"/>
      <c r="BG834" s="69"/>
      <c r="BH834" s="69"/>
      <c r="BI834" s="69"/>
      <c r="BJ834" s="69"/>
      <c r="BK834" s="69"/>
      <c r="BL834" s="69"/>
      <c r="BM834" s="69"/>
      <c r="BN834" s="69"/>
      <c r="BO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  <c r="AY835" s="69"/>
      <c r="AZ835" s="69"/>
      <c r="BA835" s="69"/>
      <c r="BB835" s="69"/>
      <c r="BC835" s="69"/>
      <c r="BD835" s="69"/>
      <c r="BE835" s="69"/>
      <c r="BF835" s="69"/>
      <c r="BG835" s="69"/>
      <c r="BH835" s="69"/>
      <c r="BI835" s="69"/>
      <c r="BJ835" s="69"/>
      <c r="BK835" s="69"/>
      <c r="BL835" s="69"/>
      <c r="BM835" s="69"/>
      <c r="BN835" s="69"/>
      <c r="BO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  <c r="AY836" s="69"/>
      <c r="AZ836" s="69"/>
      <c r="BA836" s="69"/>
      <c r="BB836" s="69"/>
      <c r="BC836" s="69"/>
      <c r="BD836" s="69"/>
      <c r="BE836" s="69"/>
      <c r="BF836" s="69"/>
      <c r="BG836" s="69"/>
      <c r="BH836" s="69"/>
      <c r="BI836" s="69"/>
      <c r="BJ836" s="69"/>
      <c r="BK836" s="69"/>
      <c r="BL836" s="69"/>
      <c r="BM836" s="69"/>
      <c r="BN836" s="69"/>
      <c r="BO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  <c r="AY837" s="69"/>
      <c r="AZ837" s="69"/>
      <c r="BA837" s="69"/>
      <c r="BB837" s="69"/>
      <c r="BC837" s="69"/>
      <c r="BD837" s="69"/>
      <c r="BE837" s="69"/>
      <c r="BF837" s="69"/>
      <c r="BG837" s="69"/>
      <c r="BH837" s="69"/>
      <c r="BI837" s="69"/>
      <c r="BJ837" s="69"/>
      <c r="BK837" s="69"/>
      <c r="BL837" s="69"/>
      <c r="BM837" s="69"/>
      <c r="BN837" s="69"/>
      <c r="BO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  <c r="AY838" s="69"/>
      <c r="AZ838" s="69"/>
      <c r="BA838" s="69"/>
      <c r="BB838" s="69"/>
      <c r="BC838" s="69"/>
      <c r="BD838" s="69"/>
      <c r="BE838" s="69"/>
      <c r="BF838" s="69"/>
      <c r="BG838" s="69"/>
      <c r="BH838" s="69"/>
      <c r="BI838" s="69"/>
      <c r="BJ838" s="69"/>
      <c r="BK838" s="69"/>
      <c r="BL838" s="69"/>
      <c r="BM838" s="69"/>
      <c r="BN838" s="69"/>
      <c r="BO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  <c r="AY839" s="69"/>
      <c r="AZ839" s="69"/>
      <c r="BA839" s="69"/>
      <c r="BB839" s="69"/>
      <c r="BC839" s="69"/>
      <c r="BD839" s="69"/>
      <c r="BE839" s="69"/>
      <c r="BF839" s="69"/>
      <c r="BG839" s="69"/>
      <c r="BH839" s="69"/>
      <c r="BI839" s="69"/>
      <c r="BJ839" s="69"/>
      <c r="BK839" s="69"/>
      <c r="BL839" s="69"/>
      <c r="BM839" s="69"/>
      <c r="BN839" s="69"/>
      <c r="BO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  <c r="AY840" s="69"/>
      <c r="AZ840" s="69"/>
      <c r="BA840" s="69"/>
      <c r="BB840" s="69"/>
      <c r="BC840" s="69"/>
      <c r="BD840" s="69"/>
      <c r="BE840" s="69"/>
      <c r="BF840" s="69"/>
      <c r="BG840" s="69"/>
      <c r="BH840" s="69"/>
      <c r="BI840" s="69"/>
      <c r="BJ840" s="69"/>
      <c r="BK840" s="69"/>
      <c r="BL840" s="69"/>
      <c r="BM840" s="69"/>
      <c r="BN840" s="69"/>
      <c r="BO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  <c r="AY841" s="69"/>
      <c r="AZ841" s="69"/>
      <c r="BA841" s="69"/>
      <c r="BB841" s="69"/>
      <c r="BC841" s="69"/>
      <c r="BD841" s="69"/>
      <c r="BE841" s="69"/>
      <c r="BF841" s="69"/>
      <c r="BG841" s="69"/>
      <c r="BH841" s="69"/>
      <c r="BI841" s="69"/>
      <c r="BJ841" s="69"/>
      <c r="BK841" s="69"/>
      <c r="BL841" s="69"/>
      <c r="BM841" s="69"/>
      <c r="BN841" s="69"/>
      <c r="BO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  <c r="AY842" s="69"/>
      <c r="AZ842" s="69"/>
      <c r="BA842" s="69"/>
      <c r="BB842" s="69"/>
      <c r="BC842" s="69"/>
      <c r="BD842" s="69"/>
      <c r="BE842" s="69"/>
      <c r="BF842" s="69"/>
      <c r="BG842" s="69"/>
      <c r="BH842" s="69"/>
      <c r="BI842" s="69"/>
      <c r="BJ842" s="69"/>
      <c r="BK842" s="69"/>
      <c r="BL842" s="69"/>
      <c r="BM842" s="69"/>
      <c r="BN842" s="69"/>
      <c r="BO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69"/>
      <c r="BH843" s="69"/>
      <c r="BI843" s="69"/>
      <c r="BJ843" s="69"/>
      <c r="BK843" s="69"/>
      <c r="BL843" s="69"/>
      <c r="BM843" s="69"/>
      <c r="BN843" s="69"/>
      <c r="BO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  <c r="AY844" s="69"/>
      <c r="AZ844" s="69"/>
      <c r="BA844" s="69"/>
      <c r="BB844" s="69"/>
      <c r="BC844" s="69"/>
      <c r="BD844" s="69"/>
      <c r="BE844" s="69"/>
      <c r="BF844" s="69"/>
      <c r="BG844" s="69"/>
      <c r="BH844" s="69"/>
      <c r="BI844" s="69"/>
      <c r="BJ844" s="69"/>
      <c r="BK844" s="69"/>
      <c r="BL844" s="69"/>
      <c r="BM844" s="69"/>
      <c r="BN844" s="69"/>
      <c r="BO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  <c r="AY845" s="69"/>
      <c r="AZ845" s="69"/>
      <c r="BA845" s="69"/>
      <c r="BB845" s="69"/>
      <c r="BC845" s="69"/>
      <c r="BD845" s="69"/>
      <c r="BE845" s="69"/>
      <c r="BF845" s="69"/>
      <c r="BG845" s="69"/>
      <c r="BH845" s="69"/>
      <c r="BI845" s="69"/>
      <c r="BJ845" s="69"/>
      <c r="BK845" s="69"/>
      <c r="BL845" s="69"/>
      <c r="BM845" s="69"/>
      <c r="BN845" s="69"/>
      <c r="BO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  <c r="AY846" s="69"/>
      <c r="AZ846" s="69"/>
      <c r="BA846" s="69"/>
      <c r="BB846" s="69"/>
      <c r="BC846" s="69"/>
      <c r="BD846" s="69"/>
      <c r="BE846" s="69"/>
      <c r="BF846" s="69"/>
      <c r="BG846" s="69"/>
      <c r="BH846" s="69"/>
      <c r="BI846" s="69"/>
      <c r="BJ846" s="69"/>
      <c r="BK846" s="69"/>
      <c r="BL846" s="69"/>
      <c r="BM846" s="69"/>
      <c r="BN846" s="69"/>
      <c r="BO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  <c r="AY847" s="69"/>
      <c r="AZ847" s="69"/>
      <c r="BA847" s="69"/>
      <c r="BB847" s="69"/>
      <c r="BC847" s="69"/>
      <c r="BD847" s="69"/>
      <c r="BE847" s="69"/>
      <c r="BF847" s="69"/>
      <c r="BG847" s="69"/>
      <c r="BH847" s="69"/>
      <c r="BI847" s="69"/>
      <c r="BJ847" s="69"/>
      <c r="BK847" s="69"/>
      <c r="BL847" s="69"/>
      <c r="BM847" s="69"/>
      <c r="BN847" s="69"/>
      <c r="BO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  <c r="AY848" s="69"/>
      <c r="AZ848" s="69"/>
      <c r="BA848" s="69"/>
      <c r="BB848" s="69"/>
      <c r="BC848" s="69"/>
      <c r="BD848" s="69"/>
      <c r="BE848" s="69"/>
      <c r="BF848" s="69"/>
      <c r="BG848" s="69"/>
      <c r="BH848" s="69"/>
      <c r="BI848" s="69"/>
      <c r="BJ848" s="69"/>
      <c r="BK848" s="69"/>
      <c r="BL848" s="69"/>
      <c r="BM848" s="69"/>
      <c r="BN848" s="69"/>
      <c r="BO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  <c r="AY849" s="69"/>
      <c r="AZ849" s="69"/>
      <c r="BA849" s="69"/>
      <c r="BB849" s="69"/>
      <c r="BC849" s="69"/>
      <c r="BD849" s="69"/>
      <c r="BE849" s="69"/>
      <c r="BF849" s="69"/>
      <c r="BG849" s="69"/>
      <c r="BH849" s="69"/>
      <c r="BI849" s="69"/>
      <c r="BJ849" s="69"/>
      <c r="BK849" s="69"/>
      <c r="BL849" s="69"/>
      <c r="BM849" s="69"/>
      <c r="BN849" s="69"/>
      <c r="BO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  <c r="AY850" s="69"/>
      <c r="AZ850" s="69"/>
      <c r="BA850" s="69"/>
      <c r="BB850" s="69"/>
      <c r="BC850" s="69"/>
      <c r="BD850" s="69"/>
      <c r="BE850" s="69"/>
      <c r="BF850" s="69"/>
      <c r="BG850" s="69"/>
      <c r="BH850" s="69"/>
      <c r="BI850" s="69"/>
      <c r="BJ850" s="69"/>
      <c r="BK850" s="69"/>
      <c r="BL850" s="69"/>
      <c r="BM850" s="69"/>
      <c r="BN850" s="69"/>
      <c r="BO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  <c r="AY851" s="69"/>
      <c r="AZ851" s="69"/>
      <c r="BA851" s="69"/>
      <c r="BB851" s="69"/>
      <c r="BC851" s="69"/>
      <c r="BD851" s="69"/>
      <c r="BE851" s="69"/>
      <c r="BF851" s="69"/>
      <c r="BG851" s="69"/>
      <c r="BH851" s="69"/>
      <c r="BI851" s="69"/>
      <c r="BJ851" s="69"/>
      <c r="BK851" s="69"/>
      <c r="BL851" s="69"/>
      <c r="BM851" s="69"/>
      <c r="BN851" s="69"/>
      <c r="BO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  <c r="AY852" s="69"/>
      <c r="AZ852" s="69"/>
      <c r="BA852" s="69"/>
      <c r="BB852" s="69"/>
      <c r="BC852" s="69"/>
      <c r="BD852" s="69"/>
      <c r="BE852" s="69"/>
      <c r="BF852" s="69"/>
      <c r="BG852" s="69"/>
      <c r="BH852" s="69"/>
      <c r="BI852" s="69"/>
      <c r="BJ852" s="69"/>
      <c r="BK852" s="69"/>
      <c r="BL852" s="69"/>
      <c r="BM852" s="69"/>
      <c r="BN852" s="69"/>
      <c r="BO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  <c r="AY853" s="69"/>
      <c r="AZ853" s="69"/>
      <c r="BA853" s="69"/>
      <c r="BB853" s="69"/>
      <c r="BC853" s="69"/>
      <c r="BD853" s="69"/>
      <c r="BE853" s="69"/>
      <c r="BF853" s="69"/>
      <c r="BG853" s="69"/>
      <c r="BH853" s="69"/>
      <c r="BI853" s="69"/>
      <c r="BJ853" s="69"/>
      <c r="BK853" s="69"/>
      <c r="BL853" s="69"/>
      <c r="BM853" s="69"/>
      <c r="BN853" s="69"/>
      <c r="BO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  <c r="AY854" s="69"/>
      <c r="AZ854" s="69"/>
      <c r="BA854" s="69"/>
      <c r="BB854" s="69"/>
      <c r="BC854" s="69"/>
      <c r="BD854" s="69"/>
      <c r="BE854" s="69"/>
      <c r="BF854" s="69"/>
      <c r="BG854" s="69"/>
      <c r="BH854" s="69"/>
      <c r="BI854" s="69"/>
      <c r="BJ854" s="69"/>
      <c r="BK854" s="69"/>
      <c r="BL854" s="69"/>
      <c r="BM854" s="69"/>
      <c r="BN854" s="69"/>
      <c r="BO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  <c r="AY855" s="69"/>
      <c r="AZ855" s="69"/>
      <c r="BA855" s="69"/>
      <c r="BB855" s="69"/>
      <c r="BC855" s="69"/>
      <c r="BD855" s="69"/>
      <c r="BE855" s="69"/>
      <c r="BF855" s="69"/>
      <c r="BG855" s="69"/>
      <c r="BH855" s="69"/>
      <c r="BI855" s="69"/>
      <c r="BJ855" s="69"/>
      <c r="BK855" s="69"/>
      <c r="BL855" s="69"/>
      <c r="BM855" s="69"/>
      <c r="BN855" s="69"/>
      <c r="BO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  <c r="AY856" s="69"/>
      <c r="AZ856" s="69"/>
      <c r="BA856" s="69"/>
      <c r="BB856" s="69"/>
      <c r="BC856" s="69"/>
      <c r="BD856" s="69"/>
      <c r="BE856" s="69"/>
      <c r="BF856" s="69"/>
      <c r="BG856" s="69"/>
      <c r="BH856" s="69"/>
      <c r="BI856" s="69"/>
      <c r="BJ856" s="69"/>
      <c r="BK856" s="69"/>
      <c r="BL856" s="69"/>
      <c r="BM856" s="69"/>
      <c r="BN856" s="69"/>
      <c r="BO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  <c r="AY857" s="69"/>
      <c r="AZ857" s="69"/>
      <c r="BA857" s="69"/>
      <c r="BB857" s="69"/>
      <c r="BC857" s="69"/>
      <c r="BD857" s="69"/>
      <c r="BE857" s="69"/>
      <c r="BF857" s="69"/>
      <c r="BG857" s="69"/>
      <c r="BH857" s="69"/>
      <c r="BI857" s="69"/>
      <c r="BJ857" s="69"/>
      <c r="BK857" s="69"/>
      <c r="BL857" s="69"/>
      <c r="BM857" s="69"/>
      <c r="BN857" s="69"/>
      <c r="BO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69"/>
      <c r="BG858" s="69"/>
      <c r="BH858" s="69"/>
      <c r="BI858" s="69"/>
      <c r="BJ858" s="69"/>
      <c r="BK858" s="69"/>
      <c r="BL858" s="69"/>
      <c r="BM858" s="69"/>
      <c r="BN858" s="69"/>
      <c r="BO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  <c r="AY859" s="69"/>
      <c r="AZ859" s="69"/>
      <c r="BA859" s="69"/>
      <c r="BB859" s="69"/>
      <c r="BC859" s="69"/>
      <c r="BD859" s="69"/>
      <c r="BE859" s="69"/>
      <c r="BF859" s="69"/>
      <c r="BG859" s="69"/>
      <c r="BH859" s="69"/>
      <c r="BI859" s="69"/>
      <c r="BJ859" s="69"/>
      <c r="BK859" s="69"/>
      <c r="BL859" s="69"/>
      <c r="BM859" s="69"/>
      <c r="BN859" s="69"/>
      <c r="BO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  <c r="AY860" s="69"/>
      <c r="AZ860" s="69"/>
      <c r="BA860" s="69"/>
      <c r="BB860" s="69"/>
      <c r="BC860" s="69"/>
      <c r="BD860" s="69"/>
      <c r="BE860" s="69"/>
      <c r="BF860" s="69"/>
      <c r="BG860" s="69"/>
      <c r="BH860" s="69"/>
      <c r="BI860" s="69"/>
      <c r="BJ860" s="69"/>
      <c r="BK860" s="69"/>
      <c r="BL860" s="69"/>
      <c r="BM860" s="69"/>
      <c r="BN860" s="69"/>
      <c r="BO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  <c r="AY861" s="69"/>
      <c r="AZ861" s="69"/>
      <c r="BA861" s="69"/>
      <c r="BB861" s="69"/>
      <c r="BC861" s="69"/>
      <c r="BD861" s="69"/>
      <c r="BE861" s="69"/>
      <c r="BF861" s="69"/>
      <c r="BG861" s="69"/>
      <c r="BH861" s="69"/>
      <c r="BI861" s="69"/>
      <c r="BJ861" s="69"/>
      <c r="BK861" s="69"/>
      <c r="BL861" s="69"/>
      <c r="BM861" s="69"/>
      <c r="BN861" s="69"/>
      <c r="BO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69"/>
      <c r="BG862" s="69"/>
      <c r="BH862" s="69"/>
      <c r="BI862" s="69"/>
      <c r="BJ862" s="69"/>
      <c r="BK862" s="69"/>
      <c r="BL862" s="69"/>
      <c r="BM862" s="69"/>
      <c r="BN862" s="69"/>
      <c r="BO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  <c r="AY863" s="69"/>
      <c r="AZ863" s="69"/>
      <c r="BA863" s="69"/>
      <c r="BB863" s="69"/>
      <c r="BC863" s="69"/>
      <c r="BD863" s="69"/>
      <c r="BE863" s="69"/>
      <c r="BF863" s="69"/>
      <c r="BG863" s="69"/>
      <c r="BH863" s="69"/>
      <c r="BI863" s="69"/>
      <c r="BJ863" s="69"/>
      <c r="BK863" s="69"/>
      <c r="BL863" s="69"/>
      <c r="BM863" s="69"/>
      <c r="BN863" s="69"/>
      <c r="BO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  <c r="AY864" s="69"/>
      <c r="AZ864" s="69"/>
      <c r="BA864" s="69"/>
      <c r="BB864" s="69"/>
      <c r="BC864" s="69"/>
      <c r="BD864" s="69"/>
      <c r="BE864" s="69"/>
      <c r="BF864" s="69"/>
      <c r="BG864" s="69"/>
      <c r="BH864" s="69"/>
      <c r="BI864" s="69"/>
      <c r="BJ864" s="69"/>
      <c r="BK864" s="69"/>
      <c r="BL864" s="69"/>
      <c r="BM864" s="69"/>
      <c r="BN864" s="69"/>
      <c r="BO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  <c r="AY865" s="69"/>
      <c r="AZ865" s="69"/>
      <c r="BA865" s="69"/>
      <c r="BB865" s="69"/>
      <c r="BC865" s="69"/>
      <c r="BD865" s="69"/>
      <c r="BE865" s="69"/>
      <c r="BF865" s="69"/>
      <c r="BG865" s="69"/>
      <c r="BH865" s="69"/>
      <c r="BI865" s="69"/>
      <c r="BJ865" s="69"/>
      <c r="BK865" s="69"/>
      <c r="BL865" s="69"/>
      <c r="BM865" s="69"/>
      <c r="BN865" s="69"/>
      <c r="BO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  <c r="AY866" s="69"/>
      <c r="AZ866" s="69"/>
      <c r="BA866" s="69"/>
      <c r="BB866" s="69"/>
      <c r="BC866" s="69"/>
      <c r="BD866" s="69"/>
      <c r="BE866" s="69"/>
      <c r="BF866" s="69"/>
      <c r="BG866" s="69"/>
      <c r="BH866" s="69"/>
      <c r="BI866" s="69"/>
      <c r="BJ866" s="69"/>
      <c r="BK866" s="69"/>
      <c r="BL866" s="69"/>
      <c r="BM866" s="69"/>
      <c r="BN866" s="69"/>
      <c r="BO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  <c r="AY867" s="69"/>
      <c r="AZ867" s="69"/>
      <c r="BA867" s="69"/>
      <c r="BB867" s="69"/>
      <c r="BC867" s="69"/>
      <c r="BD867" s="69"/>
      <c r="BE867" s="69"/>
      <c r="BF867" s="69"/>
      <c r="BG867" s="69"/>
      <c r="BH867" s="69"/>
      <c r="BI867" s="69"/>
      <c r="BJ867" s="69"/>
      <c r="BK867" s="69"/>
      <c r="BL867" s="69"/>
      <c r="BM867" s="69"/>
      <c r="BN867" s="69"/>
      <c r="BO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/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  <c r="AY869" s="69"/>
      <c r="AZ869" s="69"/>
      <c r="BA869" s="69"/>
      <c r="BB869" s="69"/>
      <c r="BC869" s="69"/>
      <c r="BD869" s="69"/>
      <c r="BE869" s="69"/>
      <c r="BF869" s="69"/>
      <c r="BG869" s="69"/>
      <c r="BH869" s="69"/>
      <c r="BI869" s="69"/>
      <c r="BJ869" s="69"/>
      <c r="BK869" s="69"/>
      <c r="BL869" s="69"/>
      <c r="BM869" s="69"/>
      <c r="BN869" s="69"/>
      <c r="BO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  <c r="AY870" s="69"/>
      <c r="AZ870" s="69"/>
      <c r="BA870" s="69"/>
      <c r="BB870" s="69"/>
      <c r="BC870" s="69"/>
      <c r="BD870" s="69"/>
      <c r="BE870" s="69"/>
      <c r="BF870" s="69"/>
      <c r="BG870" s="69"/>
      <c r="BH870" s="69"/>
      <c r="BI870" s="69"/>
      <c r="BJ870" s="69"/>
      <c r="BK870" s="69"/>
      <c r="BL870" s="69"/>
      <c r="BM870" s="69"/>
      <c r="BN870" s="69"/>
      <c r="BO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69"/>
      <c r="BG871" s="69"/>
      <c r="BH871" s="69"/>
      <c r="BI871" s="69"/>
      <c r="BJ871" s="69"/>
      <c r="BK871" s="69"/>
      <c r="BL871" s="69"/>
      <c r="BM871" s="69"/>
      <c r="BN871" s="69"/>
      <c r="BO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  <c r="BC872" s="69"/>
      <c r="BD872" s="69"/>
      <c r="BE872" s="69"/>
      <c r="BF872" s="69"/>
      <c r="BG872" s="69"/>
      <c r="BH872" s="69"/>
      <c r="BI872" s="69"/>
      <c r="BJ872" s="69"/>
      <c r="BK872" s="69"/>
      <c r="BL872" s="69"/>
      <c r="BM872" s="69"/>
      <c r="BN872" s="69"/>
      <c r="BO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69"/>
      <c r="BG873" s="69"/>
      <c r="BH873" s="69"/>
      <c r="BI873" s="69"/>
      <c r="BJ873" s="69"/>
      <c r="BK873" s="69"/>
      <c r="BL873" s="69"/>
      <c r="BM873" s="69"/>
      <c r="BN873" s="69"/>
      <c r="BO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  <c r="AY874" s="69"/>
      <c r="AZ874" s="69"/>
      <c r="BA874" s="69"/>
      <c r="BB874" s="69"/>
      <c r="BC874" s="69"/>
      <c r="BD874" s="69"/>
      <c r="BE874" s="69"/>
      <c r="BF874" s="69"/>
      <c r="BG874" s="69"/>
      <c r="BH874" s="69"/>
      <c r="BI874" s="69"/>
      <c r="BJ874" s="69"/>
      <c r="BK874" s="69"/>
      <c r="BL874" s="69"/>
      <c r="BM874" s="69"/>
      <c r="BN874" s="69"/>
      <c r="BO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  <c r="AY875" s="69"/>
      <c r="AZ875" s="69"/>
      <c r="BA875" s="69"/>
      <c r="BB875" s="69"/>
      <c r="BC875" s="69"/>
      <c r="BD875" s="69"/>
      <c r="BE875" s="69"/>
      <c r="BF875" s="69"/>
      <c r="BG875" s="69"/>
      <c r="BH875" s="69"/>
      <c r="BI875" s="69"/>
      <c r="BJ875" s="69"/>
      <c r="BK875" s="69"/>
      <c r="BL875" s="69"/>
      <c r="BM875" s="69"/>
      <c r="BN875" s="69"/>
      <c r="BO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  <c r="AY876" s="69"/>
      <c r="AZ876" s="69"/>
      <c r="BA876" s="69"/>
      <c r="BB876" s="69"/>
      <c r="BC876" s="69"/>
      <c r="BD876" s="69"/>
      <c r="BE876" s="69"/>
      <c r="BF876" s="69"/>
      <c r="BG876" s="69"/>
      <c r="BH876" s="69"/>
      <c r="BI876" s="69"/>
      <c r="BJ876" s="69"/>
      <c r="BK876" s="69"/>
      <c r="BL876" s="69"/>
      <c r="BM876" s="69"/>
      <c r="BN876" s="69"/>
      <c r="BO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  <c r="AY877" s="69"/>
      <c r="AZ877" s="69"/>
      <c r="BA877" s="69"/>
      <c r="BB877" s="69"/>
      <c r="BC877" s="69"/>
      <c r="BD877" s="69"/>
      <c r="BE877" s="69"/>
      <c r="BF877" s="69"/>
      <c r="BG877" s="69"/>
      <c r="BH877" s="69"/>
      <c r="BI877" s="69"/>
      <c r="BJ877" s="69"/>
      <c r="BK877" s="69"/>
      <c r="BL877" s="69"/>
      <c r="BM877" s="69"/>
      <c r="BN877" s="69"/>
      <c r="BO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69"/>
      <c r="BG878" s="69"/>
      <c r="BH878" s="69"/>
      <c r="BI878" s="69"/>
      <c r="BJ878" s="69"/>
      <c r="BK878" s="69"/>
      <c r="BL878" s="69"/>
      <c r="BM878" s="69"/>
      <c r="BN878" s="69"/>
      <c r="BO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  <c r="AY879" s="69"/>
      <c r="AZ879" s="69"/>
      <c r="BA879" s="69"/>
      <c r="BB879" s="69"/>
      <c r="BC879" s="69"/>
      <c r="BD879" s="69"/>
      <c r="BE879" s="69"/>
      <c r="BF879" s="69"/>
      <c r="BG879" s="69"/>
      <c r="BH879" s="69"/>
      <c r="BI879" s="69"/>
      <c r="BJ879" s="69"/>
      <c r="BK879" s="69"/>
      <c r="BL879" s="69"/>
      <c r="BM879" s="69"/>
      <c r="BN879" s="69"/>
      <c r="BO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  <c r="AY880" s="69"/>
      <c r="AZ880" s="69"/>
      <c r="BA880" s="69"/>
      <c r="BB880" s="69"/>
      <c r="BC880" s="69"/>
      <c r="BD880" s="69"/>
      <c r="BE880" s="69"/>
      <c r="BF880" s="69"/>
      <c r="BG880" s="69"/>
      <c r="BH880" s="69"/>
      <c r="BI880" s="69"/>
      <c r="BJ880" s="69"/>
      <c r="BK880" s="69"/>
      <c r="BL880" s="69"/>
      <c r="BM880" s="69"/>
      <c r="BN880" s="69"/>
      <c r="BO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  <c r="AY881" s="69"/>
      <c r="AZ881" s="69"/>
      <c r="BA881" s="69"/>
      <c r="BB881" s="69"/>
      <c r="BC881" s="69"/>
      <c r="BD881" s="69"/>
      <c r="BE881" s="69"/>
      <c r="BF881" s="69"/>
      <c r="BG881" s="69"/>
      <c r="BH881" s="69"/>
      <c r="BI881" s="69"/>
      <c r="BJ881" s="69"/>
      <c r="BK881" s="69"/>
      <c r="BL881" s="69"/>
      <c r="BM881" s="69"/>
      <c r="BN881" s="69"/>
      <c r="BO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  <c r="AY882" s="69"/>
      <c r="AZ882" s="69"/>
      <c r="BA882" s="69"/>
      <c r="BB882" s="69"/>
      <c r="BC882" s="69"/>
      <c r="BD882" s="69"/>
      <c r="BE882" s="69"/>
      <c r="BF882" s="69"/>
      <c r="BG882" s="69"/>
      <c r="BH882" s="69"/>
      <c r="BI882" s="69"/>
      <c r="BJ882" s="69"/>
      <c r="BK882" s="69"/>
      <c r="BL882" s="69"/>
      <c r="BM882" s="69"/>
      <c r="BN882" s="69"/>
      <c r="BO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69"/>
      <c r="BH883" s="69"/>
      <c r="BI883" s="69"/>
      <c r="BJ883" s="69"/>
      <c r="BK883" s="69"/>
      <c r="BL883" s="69"/>
      <c r="BM883" s="69"/>
      <c r="BN883" s="69"/>
      <c r="BO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  <c r="AY884" s="69"/>
      <c r="AZ884" s="69"/>
      <c r="BA884" s="69"/>
      <c r="BB884" s="69"/>
      <c r="BC884" s="69"/>
      <c r="BD884" s="69"/>
      <c r="BE884" s="69"/>
      <c r="BF884" s="69"/>
      <c r="BG884" s="69"/>
      <c r="BH884" s="69"/>
      <c r="BI884" s="69"/>
      <c r="BJ884" s="69"/>
      <c r="BK884" s="69"/>
      <c r="BL884" s="69"/>
      <c r="BM884" s="69"/>
      <c r="BN884" s="69"/>
      <c r="BO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  <c r="AY885" s="69"/>
      <c r="AZ885" s="69"/>
      <c r="BA885" s="69"/>
      <c r="BB885" s="69"/>
      <c r="BC885" s="69"/>
      <c r="BD885" s="69"/>
      <c r="BE885" s="69"/>
      <c r="BF885" s="69"/>
      <c r="BG885" s="69"/>
      <c r="BH885" s="69"/>
      <c r="BI885" s="69"/>
      <c r="BJ885" s="69"/>
      <c r="BK885" s="69"/>
      <c r="BL885" s="69"/>
      <c r="BM885" s="69"/>
      <c r="BN885" s="69"/>
      <c r="BO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  <c r="BC886" s="69"/>
      <c r="BD886" s="69"/>
      <c r="BE886" s="69"/>
      <c r="BF886" s="69"/>
      <c r="BG886" s="69"/>
      <c r="BH886" s="69"/>
      <c r="BI886" s="69"/>
      <c r="BJ886" s="69"/>
      <c r="BK886" s="69"/>
      <c r="BL886" s="69"/>
      <c r="BM886" s="69"/>
      <c r="BN886" s="69"/>
      <c r="BO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  <c r="AY887" s="69"/>
      <c r="AZ887" s="69"/>
      <c r="BA887" s="69"/>
      <c r="BB887" s="69"/>
      <c r="BC887" s="69"/>
      <c r="BD887" s="69"/>
      <c r="BE887" s="69"/>
      <c r="BF887" s="69"/>
      <c r="BG887" s="69"/>
      <c r="BH887" s="69"/>
      <c r="BI887" s="69"/>
      <c r="BJ887" s="69"/>
      <c r="BK887" s="69"/>
      <c r="BL887" s="69"/>
      <c r="BM887" s="69"/>
      <c r="BN887" s="69"/>
      <c r="BO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  <c r="AY888" s="69"/>
      <c r="AZ888" s="69"/>
      <c r="BA888" s="69"/>
      <c r="BB888" s="69"/>
      <c r="BC888" s="69"/>
      <c r="BD888" s="69"/>
      <c r="BE888" s="69"/>
      <c r="BF888" s="69"/>
      <c r="BG888" s="69"/>
      <c r="BH888" s="69"/>
      <c r="BI888" s="69"/>
      <c r="BJ888" s="69"/>
      <c r="BK888" s="69"/>
      <c r="BL888" s="69"/>
      <c r="BM888" s="69"/>
      <c r="BN888" s="69"/>
      <c r="BO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  <c r="AY889" s="69"/>
      <c r="AZ889" s="69"/>
      <c r="BA889" s="69"/>
      <c r="BB889" s="69"/>
      <c r="BC889" s="69"/>
      <c r="BD889" s="69"/>
      <c r="BE889" s="69"/>
      <c r="BF889" s="69"/>
      <c r="BG889" s="69"/>
      <c r="BH889" s="69"/>
      <c r="BI889" s="69"/>
      <c r="BJ889" s="69"/>
      <c r="BK889" s="69"/>
      <c r="BL889" s="69"/>
      <c r="BM889" s="69"/>
      <c r="BN889" s="69"/>
      <c r="BO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  <c r="AY890" s="69"/>
      <c r="AZ890" s="69"/>
      <c r="BA890" s="69"/>
      <c r="BB890" s="69"/>
      <c r="BC890" s="69"/>
      <c r="BD890" s="69"/>
      <c r="BE890" s="69"/>
      <c r="BF890" s="69"/>
      <c r="BG890" s="69"/>
      <c r="BH890" s="69"/>
      <c r="BI890" s="69"/>
      <c r="BJ890" s="69"/>
      <c r="BK890" s="69"/>
      <c r="BL890" s="69"/>
      <c r="BM890" s="69"/>
      <c r="BN890" s="69"/>
      <c r="BO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  <c r="AY891" s="69"/>
      <c r="AZ891" s="69"/>
      <c r="BA891" s="69"/>
      <c r="BB891" s="69"/>
      <c r="BC891" s="69"/>
      <c r="BD891" s="69"/>
      <c r="BE891" s="69"/>
      <c r="BF891" s="69"/>
      <c r="BG891" s="69"/>
      <c r="BH891" s="69"/>
      <c r="BI891" s="69"/>
      <c r="BJ891" s="69"/>
      <c r="BK891" s="69"/>
      <c r="BL891" s="69"/>
      <c r="BM891" s="69"/>
      <c r="BN891" s="69"/>
      <c r="BO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  <c r="AY892" s="69"/>
      <c r="AZ892" s="69"/>
      <c r="BA892" s="69"/>
      <c r="BB892" s="69"/>
      <c r="BC892" s="69"/>
      <c r="BD892" s="69"/>
      <c r="BE892" s="69"/>
      <c r="BF892" s="69"/>
      <c r="BG892" s="69"/>
      <c r="BH892" s="69"/>
      <c r="BI892" s="69"/>
      <c r="BJ892" s="69"/>
      <c r="BK892" s="69"/>
      <c r="BL892" s="69"/>
      <c r="BM892" s="69"/>
      <c r="BN892" s="69"/>
      <c r="BO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  <c r="AY893" s="69"/>
      <c r="AZ893" s="69"/>
      <c r="BA893" s="69"/>
      <c r="BB893" s="69"/>
      <c r="BC893" s="69"/>
      <c r="BD893" s="69"/>
      <c r="BE893" s="69"/>
      <c r="BF893" s="69"/>
      <c r="BG893" s="69"/>
      <c r="BH893" s="69"/>
      <c r="BI893" s="69"/>
      <c r="BJ893" s="69"/>
      <c r="BK893" s="69"/>
      <c r="BL893" s="69"/>
      <c r="BM893" s="69"/>
      <c r="BN893" s="69"/>
      <c r="BO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  <c r="AY894" s="69"/>
      <c r="AZ894" s="69"/>
      <c r="BA894" s="69"/>
      <c r="BB894" s="69"/>
      <c r="BC894" s="69"/>
      <c r="BD894" s="69"/>
      <c r="BE894" s="69"/>
      <c r="BF894" s="69"/>
      <c r="BG894" s="69"/>
      <c r="BH894" s="69"/>
      <c r="BI894" s="69"/>
      <c r="BJ894" s="69"/>
      <c r="BK894" s="69"/>
      <c r="BL894" s="69"/>
      <c r="BM894" s="69"/>
      <c r="BN894" s="69"/>
      <c r="BO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  <c r="AY895" s="69"/>
      <c r="AZ895" s="69"/>
      <c r="BA895" s="69"/>
      <c r="BB895" s="69"/>
      <c r="BC895" s="69"/>
      <c r="BD895" s="69"/>
      <c r="BE895" s="69"/>
      <c r="BF895" s="69"/>
      <c r="BG895" s="69"/>
      <c r="BH895" s="69"/>
      <c r="BI895" s="69"/>
      <c r="BJ895" s="69"/>
      <c r="BK895" s="69"/>
      <c r="BL895" s="69"/>
      <c r="BM895" s="69"/>
      <c r="BN895" s="69"/>
      <c r="BO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  <c r="AY896" s="69"/>
      <c r="AZ896" s="69"/>
      <c r="BA896" s="69"/>
      <c r="BB896" s="69"/>
      <c r="BC896" s="69"/>
      <c r="BD896" s="69"/>
      <c r="BE896" s="69"/>
      <c r="BF896" s="69"/>
      <c r="BG896" s="69"/>
      <c r="BH896" s="69"/>
      <c r="BI896" s="69"/>
      <c r="BJ896" s="69"/>
      <c r="BK896" s="69"/>
      <c r="BL896" s="69"/>
      <c r="BM896" s="69"/>
      <c r="BN896" s="69"/>
      <c r="BO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  <c r="AY897" s="69"/>
      <c r="AZ897" s="69"/>
      <c r="BA897" s="69"/>
      <c r="BB897" s="69"/>
      <c r="BC897" s="69"/>
      <c r="BD897" s="69"/>
      <c r="BE897" s="69"/>
      <c r="BF897" s="69"/>
      <c r="BG897" s="69"/>
      <c r="BH897" s="69"/>
      <c r="BI897" s="69"/>
      <c r="BJ897" s="69"/>
      <c r="BK897" s="69"/>
      <c r="BL897" s="69"/>
      <c r="BM897" s="69"/>
      <c r="BN897" s="69"/>
      <c r="BO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  <c r="AY898" s="69"/>
      <c r="AZ898" s="69"/>
      <c r="BA898" s="69"/>
      <c r="BB898" s="69"/>
      <c r="BC898" s="69"/>
      <c r="BD898" s="69"/>
      <c r="BE898" s="69"/>
      <c r="BF898" s="69"/>
      <c r="BG898" s="69"/>
      <c r="BH898" s="69"/>
      <c r="BI898" s="69"/>
      <c r="BJ898" s="69"/>
      <c r="BK898" s="69"/>
      <c r="BL898" s="69"/>
      <c r="BM898" s="69"/>
      <c r="BN898" s="69"/>
      <c r="BO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  <c r="AY899" s="69"/>
      <c r="AZ899" s="69"/>
      <c r="BA899" s="69"/>
      <c r="BB899" s="69"/>
      <c r="BC899" s="69"/>
      <c r="BD899" s="69"/>
      <c r="BE899" s="69"/>
      <c r="BF899" s="69"/>
      <c r="BG899" s="69"/>
      <c r="BH899" s="69"/>
      <c r="BI899" s="69"/>
      <c r="BJ899" s="69"/>
      <c r="BK899" s="69"/>
      <c r="BL899" s="69"/>
      <c r="BM899" s="69"/>
      <c r="BN899" s="69"/>
      <c r="BO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  <c r="AY900" s="69"/>
      <c r="AZ900" s="69"/>
      <c r="BA900" s="69"/>
      <c r="BB900" s="69"/>
      <c r="BC900" s="69"/>
      <c r="BD900" s="69"/>
      <c r="BE900" s="69"/>
      <c r="BF900" s="69"/>
      <c r="BG900" s="69"/>
      <c r="BH900" s="69"/>
      <c r="BI900" s="69"/>
      <c r="BJ900" s="69"/>
      <c r="BK900" s="69"/>
      <c r="BL900" s="69"/>
      <c r="BM900" s="69"/>
      <c r="BN900" s="69"/>
      <c r="BO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  <c r="AY901" s="69"/>
      <c r="AZ901" s="69"/>
      <c r="BA901" s="69"/>
      <c r="BB901" s="69"/>
      <c r="BC901" s="69"/>
      <c r="BD901" s="69"/>
      <c r="BE901" s="69"/>
      <c r="BF901" s="69"/>
      <c r="BG901" s="69"/>
      <c r="BH901" s="69"/>
      <c r="BI901" s="69"/>
      <c r="BJ901" s="69"/>
      <c r="BK901" s="69"/>
      <c r="BL901" s="69"/>
      <c r="BM901" s="69"/>
      <c r="BN901" s="69"/>
      <c r="BO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  <c r="BC902" s="69"/>
      <c r="BD902" s="69"/>
      <c r="BE902" s="69"/>
      <c r="BF902" s="69"/>
      <c r="BG902" s="69"/>
      <c r="BH902" s="69"/>
      <c r="BI902" s="69"/>
      <c r="BJ902" s="69"/>
      <c r="BK902" s="69"/>
      <c r="BL902" s="69"/>
      <c r="BM902" s="69"/>
      <c r="BN902" s="69"/>
      <c r="BO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  <c r="AY903" s="69"/>
      <c r="AZ903" s="69"/>
      <c r="BA903" s="69"/>
      <c r="BB903" s="69"/>
      <c r="BC903" s="69"/>
      <c r="BD903" s="69"/>
      <c r="BE903" s="69"/>
      <c r="BF903" s="69"/>
      <c r="BG903" s="69"/>
      <c r="BH903" s="69"/>
      <c r="BI903" s="69"/>
      <c r="BJ903" s="69"/>
      <c r="BK903" s="69"/>
      <c r="BL903" s="69"/>
      <c r="BM903" s="69"/>
      <c r="BN903" s="69"/>
      <c r="BO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  <c r="AY904" s="69"/>
      <c r="AZ904" s="69"/>
      <c r="BA904" s="69"/>
      <c r="BB904" s="69"/>
      <c r="BC904" s="69"/>
      <c r="BD904" s="69"/>
      <c r="BE904" s="69"/>
      <c r="BF904" s="69"/>
      <c r="BG904" s="69"/>
      <c r="BH904" s="69"/>
      <c r="BI904" s="69"/>
      <c r="BJ904" s="69"/>
      <c r="BK904" s="69"/>
      <c r="BL904" s="69"/>
      <c r="BM904" s="69"/>
      <c r="BN904" s="69"/>
      <c r="BO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  <c r="AY905" s="69"/>
      <c r="AZ905" s="69"/>
      <c r="BA905" s="69"/>
      <c r="BB905" s="69"/>
      <c r="BC905" s="69"/>
      <c r="BD905" s="69"/>
      <c r="BE905" s="69"/>
      <c r="BF905" s="69"/>
      <c r="BG905" s="69"/>
      <c r="BH905" s="69"/>
      <c r="BI905" s="69"/>
      <c r="BJ905" s="69"/>
      <c r="BK905" s="69"/>
      <c r="BL905" s="69"/>
      <c r="BM905" s="69"/>
      <c r="BN905" s="69"/>
      <c r="BO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  <c r="AY906" s="69"/>
      <c r="AZ906" s="69"/>
      <c r="BA906" s="69"/>
      <c r="BB906" s="69"/>
      <c r="BC906" s="69"/>
      <c r="BD906" s="69"/>
      <c r="BE906" s="69"/>
      <c r="BF906" s="69"/>
      <c r="BG906" s="69"/>
      <c r="BH906" s="69"/>
      <c r="BI906" s="69"/>
      <c r="BJ906" s="69"/>
      <c r="BK906" s="69"/>
      <c r="BL906" s="69"/>
      <c r="BM906" s="69"/>
      <c r="BN906" s="69"/>
      <c r="BO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/>
      <c r="BF907" s="69"/>
      <c r="BG907" s="69"/>
      <c r="BH907" s="69"/>
      <c r="BI907" s="69"/>
      <c r="BJ907" s="69"/>
      <c r="BK907" s="69"/>
      <c r="BL907" s="69"/>
      <c r="BM907" s="69"/>
      <c r="BN907" s="69"/>
      <c r="BO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  <c r="AY908" s="69"/>
      <c r="AZ908" s="69"/>
      <c r="BA908" s="69"/>
      <c r="BB908" s="69"/>
      <c r="BC908" s="69"/>
      <c r="BD908" s="69"/>
      <c r="BE908" s="69"/>
      <c r="BF908" s="69"/>
      <c r="BG908" s="69"/>
      <c r="BH908" s="69"/>
      <c r="BI908" s="69"/>
      <c r="BJ908" s="69"/>
      <c r="BK908" s="69"/>
      <c r="BL908" s="69"/>
      <c r="BM908" s="69"/>
      <c r="BN908" s="69"/>
      <c r="BO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  <c r="AY909" s="69"/>
      <c r="AZ909" s="69"/>
      <c r="BA909" s="69"/>
      <c r="BB909" s="69"/>
      <c r="BC909" s="69"/>
      <c r="BD909" s="69"/>
      <c r="BE909" s="69"/>
      <c r="BF909" s="69"/>
      <c r="BG909" s="69"/>
      <c r="BH909" s="69"/>
      <c r="BI909" s="69"/>
      <c r="BJ909" s="69"/>
      <c r="BK909" s="69"/>
      <c r="BL909" s="69"/>
      <c r="BM909" s="69"/>
      <c r="BN909" s="69"/>
      <c r="BO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  <c r="AY910" s="69"/>
      <c r="AZ910" s="69"/>
      <c r="BA910" s="69"/>
      <c r="BB910" s="69"/>
      <c r="BC910" s="69"/>
      <c r="BD910" s="69"/>
      <c r="BE910" s="69"/>
      <c r="BF910" s="69"/>
      <c r="BG910" s="69"/>
      <c r="BH910" s="69"/>
      <c r="BI910" s="69"/>
      <c r="BJ910" s="69"/>
      <c r="BK910" s="69"/>
      <c r="BL910" s="69"/>
      <c r="BM910" s="69"/>
      <c r="BN910" s="69"/>
      <c r="BO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  <c r="AY911" s="69"/>
      <c r="AZ911" s="69"/>
      <c r="BA911" s="69"/>
      <c r="BB911" s="69"/>
      <c r="BC911" s="69"/>
      <c r="BD911" s="69"/>
      <c r="BE911" s="69"/>
      <c r="BF911" s="69"/>
      <c r="BG911" s="69"/>
      <c r="BH911" s="69"/>
      <c r="BI911" s="69"/>
      <c r="BJ911" s="69"/>
      <c r="BK911" s="69"/>
      <c r="BL911" s="69"/>
      <c r="BM911" s="69"/>
      <c r="BN911" s="69"/>
      <c r="BO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  <c r="AY912" s="69"/>
      <c r="AZ912" s="69"/>
      <c r="BA912" s="69"/>
      <c r="BB912" s="69"/>
      <c r="BC912" s="69"/>
      <c r="BD912" s="69"/>
      <c r="BE912" s="69"/>
      <c r="BF912" s="69"/>
      <c r="BG912" s="69"/>
      <c r="BH912" s="69"/>
      <c r="BI912" s="69"/>
      <c r="BJ912" s="69"/>
      <c r="BK912" s="69"/>
      <c r="BL912" s="69"/>
      <c r="BM912" s="69"/>
      <c r="BN912" s="69"/>
      <c r="BO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  <c r="AY913" s="69"/>
      <c r="AZ913" s="69"/>
      <c r="BA913" s="69"/>
      <c r="BB913" s="69"/>
      <c r="BC913" s="69"/>
      <c r="BD913" s="69"/>
      <c r="BE913" s="69"/>
      <c r="BF913" s="69"/>
      <c r="BG913" s="69"/>
      <c r="BH913" s="69"/>
      <c r="BI913" s="69"/>
      <c r="BJ913" s="69"/>
      <c r="BK913" s="69"/>
      <c r="BL913" s="69"/>
      <c r="BM913" s="69"/>
      <c r="BN913" s="69"/>
      <c r="BO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  <c r="AY914" s="69"/>
      <c r="AZ914" s="69"/>
      <c r="BA914" s="69"/>
      <c r="BB914" s="69"/>
      <c r="BC914" s="69"/>
      <c r="BD914" s="69"/>
      <c r="BE914" s="69"/>
      <c r="BF914" s="69"/>
      <c r="BG914" s="69"/>
      <c r="BH914" s="69"/>
      <c r="BI914" s="69"/>
      <c r="BJ914" s="69"/>
      <c r="BK914" s="69"/>
      <c r="BL914" s="69"/>
      <c r="BM914" s="69"/>
      <c r="BN914" s="69"/>
      <c r="BO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  <c r="AY915" s="69"/>
      <c r="AZ915" s="69"/>
      <c r="BA915" s="69"/>
      <c r="BB915" s="69"/>
      <c r="BC915" s="69"/>
      <c r="BD915" s="69"/>
      <c r="BE915" s="69"/>
      <c r="BF915" s="69"/>
      <c r="BG915" s="69"/>
      <c r="BH915" s="69"/>
      <c r="BI915" s="69"/>
      <c r="BJ915" s="69"/>
      <c r="BK915" s="69"/>
      <c r="BL915" s="69"/>
      <c r="BM915" s="69"/>
      <c r="BN915" s="69"/>
      <c r="BO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  <c r="AY916" s="69"/>
      <c r="AZ916" s="69"/>
      <c r="BA916" s="69"/>
      <c r="BB916" s="69"/>
      <c r="BC916" s="69"/>
      <c r="BD916" s="69"/>
      <c r="BE916" s="69"/>
      <c r="BF916" s="69"/>
      <c r="BG916" s="69"/>
      <c r="BH916" s="69"/>
      <c r="BI916" s="69"/>
      <c r="BJ916" s="69"/>
      <c r="BK916" s="69"/>
      <c r="BL916" s="69"/>
      <c r="BM916" s="69"/>
      <c r="BN916" s="69"/>
      <c r="BO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  <c r="AY917" s="69"/>
      <c r="AZ917" s="69"/>
      <c r="BA917" s="69"/>
      <c r="BB917" s="69"/>
      <c r="BC917" s="69"/>
      <c r="BD917" s="69"/>
      <c r="BE917" s="69"/>
      <c r="BF917" s="69"/>
      <c r="BG917" s="69"/>
      <c r="BH917" s="69"/>
      <c r="BI917" s="69"/>
      <c r="BJ917" s="69"/>
      <c r="BK917" s="69"/>
      <c r="BL917" s="69"/>
      <c r="BM917" s="69"/>
      <c r="BN917" s="69"/>
      <c r="BO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  <c r="AY918" s="69"/>
      <c r="AZ918" s="69"/>
      <c r="BA918" s="69"/>
      <c r="BB918" s="69"/>
      <c r="BC918" s="69"/>
      <c r="BD918" s="69"/>
      <c r="BE918" s="69"/>
      <c r="BF918" s="69"/>
      <c r="BG918" s="69"/>
      <c r="BH918" s="69"/>
      <c r="BI918" s="69"/>
      <c r="BJ918" s="69"/>
      <c r="BK918" s="69"/>
      <c r="BL918" s="69"/>
      <c r="BM918" s="69"/>
      <c r="BN918" s="69"/>
      <c r="BO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  <c r="AY919" s="69"/>
      <c r="AZ919" s="69"/>
      <c r="BA919" s="69"/>
      <c r="BB919" s="69"/>
      <c r="BC919" s="69"/>
      <c r="BD919" s="69"/>
      <c r="BE919" s="69"/>
      <c r="BF919" s="69"/>
      <c r="BG919" s="69"/>
      <c r="BH919" s="69"/>
      <c r="BI919" s="69"/>
      <c r="BJ919" s="69"/>
      <c r="BK919" s="69"/>
      <c r="BL919" s="69"/>
      <c r="BM919" s="69"/>
      <c r="BN919" s="69"/>
      <c r="BO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  <c r="AY920" s="69"/>
      <c r="AZ920" s="69"/>
      <c r="BA920" s="69"/>
      <c r="BB920" s="69"/>
      <c r="BC920" s="69"/>
      <c r="BD920" s="69"/>
      <c r="BE920" s="69"/>
      <c r="BF920" s="69"/>
      <c r="BG920" s="69"/>
      <c r="BH920" s="69"/>
      <c r="BI920" s="69"/>
      <c r="BJ920" s="69"/>
      <c r="BK920" s="69"/>
      <c r="BL920" s="69"/>
      <c r="BM920" s="69"/>
      <c r="BN920" s="69"/>
      <c r="BO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  <c r="AY921" s="69"/>
      <c r="AZ921" s="69"/>
      <c r="BA921" s="69"/>
      <c r="BB921" s="69"/>
      <c r="BC921" s="69"/>
      <c r="BD921" s="69"/>
      <c r="BE921" s="69"/>
      <c r="BF921" s="69"/>
      <c r="BG921" s="69"/>
      <c r="BH921" s="69"/>
      <c r="BI921" s="69"/>
      <c r="BJ921" s="69"/>
      <c r="BK921" s="69"/>
      <c r="BL921" s="69"/>
      <c r="BM921" s="69"/>
      <c r="BN921" s="69"/>
      <c r="BO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  <c r="AY922" s="69"/>
      <c r="AZ922" s="69"/>
      <c r="BA922" s="69"/>
      <c r="BB922" s="69"/>
      <c r="BC922" s="69"/>
      <c r="BD922" s="69"/>
      <c r="BE922" s="69"/>
      <c r="BF922" s="69"/>
      <c r="BG922" s="69"/>
      <c r="BH922" s="69"/>
      <c r="BI922" s="69"/>
      <c r="BJ922" s="69"/>
      <c r="BK922" s="69"/>
      <c r="BL922" s="69"/>
      <c r="BM922" s="69"/>
      <c r="BN922" s="69"/>
      <c r="BO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69"/>
      <c r="BH923" s="69"/>
      <c r="BI923" s="69"/>
      <c r="BJ923" s="69"/>
      <c r="BK923" s="69"/>
      <c r="BL923" s="69"/>
      <c r="BM923" s="69"/>
      <c r="BN923" s="69"/>
      <c r="BO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  <c r="AY924" s="69"/>
      <c r="AZ924" s="69"/>
      <c r="BA924" s="69"/>
      <c r="BB924" s="69"/>
      <c r="BC924" s="69"/>
      <c r="BD924" s="69"/>
      <c r="BE924" s="69"/>
      <c r="BF924" s="69"/>
      <c r="BG924" s="69"/>
      <c r="BH924" s="69"/>
      <c r="BI924" s="69"/>
      <c r="BJ924" s="69"/>
      <c r="BK924" s="69"/>
      <c r="BL924" s="69"/>
      <c r="BM924" s="69"/>
      <c r="BN924" s="69"/>
      <c r="BO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  <c r="AY925" s="69"/>
      <c r="AZ925" s="69"/>
      <c r="BA925" s="69"/>
      <c r="BB925" s="69"/>
      <c r="BC925" s="69"/>
      <c r="BD925" s="69"/>
      <c r="BE925" s="69"/>
      <c r="BF925" s="69"/>
      <c r="BG925" s="69"/>
      <c r="BH925" s="69"/>
      <c r="BI925" s="69"/>
      <c r="BJ925" s="69"/>
      <c r="BK925" s="69"/>
      <c r="BL925" s="69"/>
      <c r="BM925" s="69"/>
      <c r="BN925" s="69"/>
      <c r="BO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  <c r="AY926" s="69"/>
      <c r="AZ926" s="69"/>
      <c r="BA926" s="69"/>
      <c r="BB926" s="69"/>
      <c r="BC926" s="69"/>
      <c r="BD926" s="69"/>
      <c r="BE926" s="69"/>
      <c r="BF926" s="69"/>
      <c r="BG926" s="69"/>
      <c r="BH926" s="69"/>
      <c r="BI926" s="69"/>
      <c r="BJ926" s="69"/>
      <c r="BK926" s="69"/>
      <c r="BL926" s="69"/>
      <c r="BM926" s="69"/>
      <c r="BN926" s="69"/>
      <c r="BO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  <c r="AY927" s="69"/>
      <c r="AZ927" s="69"/>
      <c r="BA927" s="69"/>
      <c r="BB927" s="69"/>
      <c r="BC927" s="69"/>
      <c r="BD927" s="69"/>
      <c r="BE927" s="69"/>
      <c r="BF927" s="69"/>
      <c r="BG927" s="69"/>
      <c r="BH927" s="69"/>
      <c r="BI927" s="69"/>
      <c r="BJ927" s="69"/>
      <c r="BK927" s="69"/>
      <c r="BL927" s="69"/>
      <c r="BM927" s="69"/>
      <c r="BN927" s="69"/>
      <c r="BO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  <c r="AY928" s="69"/>
      <c r="AZ928" s="69"/>
      <c r="BA928" s="69"/>
      <c r="BB928" s="69"/>
      <c r="BC928" s="69"/>
      <c r="BD928" s="69"/>
      <c r="BE928" s="69"/>
      <c r="BF928" s="69"/>
      <c r="BG928" s="69"/>
      <c r="BH928" s="69"/>
      <c r="BI928" s="69"/>
      <c r="BJ928" s="69"/>
      <c r="BK928" s="69"/>
      <c r="BL928" s="69"/>
      <c r="BM928" s="69"/>
      <c r="BN928" s="69"/>
      <c r="BO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  <c r="AY929" s="69"/>
      <c r="AZ929" s="69"/>
      <c r="BA929" s="69"/>
      <c r="BB929" s="69"/>
      <c r="BC929" s="69"/>
      <c r="BD929" s="69"/>
      <c r="BE929" s="69"/>
      <c r="BF929" s="69"/>
      <c r="BG929" s="69"/>
      <c r="BH929" s="69"/>
      <c r="BI929" s="69"/>
      <c r="BJ929" s="69"/>
      <c r="BK929" s="69"/>
      <c r="BL929" s="69"/>
      <c r="BM929" s="69"/>
      <c r="BN929" s="69"/>
      <c r="BO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  <c r="AY930" s="69"/>
      <c r="AZ930" s="69"/>
      <c r="BA930" s="69"/>
      <c r="BB930" s="69"/>
      <c r="BC930" s="69"/>
      <c r="BD930" s="69"/>
      <c r="BE930" s="69"/>
      <c r="BF930" s="69"/>
      <c r="BG930" s="69"/>
      <c r="BH930" s="69"/>
      <c r="BI930" s="69"/>
      <c r="BJ930" s="69"/>
      <c r="BK930" s="69"/>
      <c r="BL930" s="69"/>
      <c r="BM930" s="69"/>
      <c r="BN930" s="69"/>
      <c r="BO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  <c r="AY931" s="69"/>
      <c r="AZ931" s="69"/>
      <c r="BA931" s="69"/>
      <c r="BB931" s="69"/>
      <c r="BC931" s="69"/>
      <c r="BD931" s="69"/>
      <c r="BE931" s="69"/>
      <c r="BF931" s="69"/>
      <c r="BG931" s="69"/>
      <c r="BH931" s="69"/>
      <c r="BI931" s="69"/>
      <c r="BJ931" s="69"/>
      <c r="BK931" s="69"/>
      <c r="BL931" s="69"/>
      <c r="BM931" s="69"/>
      <c r="BN931" s="69"/>
      <c r="BO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  <c r="AY932" s="69"/>
      <c r="AZ932" s="69"/>
      <c r="BA932" s="69"/>
      <c r="BB932" s="69"/>
      <c r="BC932" s="69"/>
      <c r="BD932" s="69"/>
      <c r="BE932" s="69"/>
      <c r="BF932" s="69"/>
      <c r="BG932" s="69"/>
      <c r="BH932" s="69"/>
      <c r="BI932" s="69"/>
      <c r="BJ932" s="69"/>
      <c r="BK932" s="69"/>
      <c r="BL932" s="69"/>
      <c r="BM932" s="69"/>
      <c r="BN932" s="69"/>
      <c r="BO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  <c r="AY933" s="69"/>
      <c r="AZ933" s="69"/>
      <c r="BA933" s="69"/>
      <c r="BB933" s="69"/>
      <c r="BC933" s="69"/>
      <c r="BD933" s="69"/>
      <c r="BE933" s="69"/>
      <c r="BF933" s="69"/>
      <c r="BG933" s="69"/>
      <c r="BH933" s="69"/>
      <c r="BI933" s="69"/>
      <c r="BJ933" s="69"/>
      <c r="BK933" s="69"/>
      <c r="BL933" s="69"/>
      <c r="BM933" s="69"/>
      <c r="BN933" s="69"/>
      <c r="BO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  <c r="AY934" s="69"/>
      <c r="AZ934" s="69"/>
      <c r="BA934" s="69"/>
      <c r="BB934" s="69"/>
      <c r="BC934" s="69"/>
      <c r="BD934" s="69"/>
      <c r="BE934" s="69"/>
      <c r="BF934" s="69"/>
      <c r="BG934" s="69"/>
      <c r="BH934" s="69"/>
      <c r="BI934" s="69"/>
      <c r="BJ934" s="69"/>
      <c r="BK934" s="69"/>
      <c r="BL934" s="69"/>
      <c r="BM934" s="69"/>
      <c r="BN934" s="69"/>
      <c r="BO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  <c r="AY935" s="69"/>
      <c r="AZ935" s="69"/>
      <c r="BA935" s="69"/>
      <c r="BB935" s="69"/>
      <c r="BC935" s="69"/>
      <c r="BD935" s="69"/>
      <c r="BE935" s="69"/>
      <c r="BF935" s="69"/>
      <c r="BG935" s="69"/>
      <c r="BH935" s="69"/>
      <c r="BI935" s="69"/>
      <c r="BJ935" s="69"/>
      <c r="BK935" s="69"/>
      <c r="BL935" s="69"/>
      <c r="BM935" s="69"/>
      <c r="BN935" s="69"/>
      <c r="BO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  <c r="AY936" s="69"/>
      <c r="AZ936" s="69"/>
      <c r="BA936" s="69"/>
      <c r="BB936" s="69"/>
      <c r="BC936" s="69"/>
      <c r="BD936" s="69"/>
      <c r="BE936" s="69"/>
      <c r="BF936" s="69"/>
      <c r="BG936" s="69"/>
      <c r="BH936" s="69"/>
      <c r="BI936" s="69"/>
      <c r="BJ936" s="69"/>
      <c r="BK936" s="69"/>
      <c r="BL936" s="69"/>
      <c r="BM936" s="69"/>
      <c r="BN936" s="69"/>
      <c r="BO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  <c r="AY937" s="69"/>
      <c r="AZ937" s="69"/>
      <c r="BA937" s="69"/>
      <c r="BB937" s="69"/>
      <c r="BC937" s="69"/>
      <c r="BD937" s="69"/>
      <c r="BE937" s="69"/>
      <c r="BF937" s="69"/>
      <c r="BG937" s="69"/>
      <c r="BH937" s="69"/>
      <c r="BI937" s="69"/>
      <c r="BJ937" s="69"/>
      <c r="BK937" s="69"/>
      <c r="BL937" s="69"/>
      <c r="BM937" s="69"/>
      <c r="BN937" s="69"/>
      <c r="BO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  <c r="AY938" s="69"/>
      <c r="AZ938" s="69"/>
      <c r="BA938" s="69"/>
      <c r="BB938" s="69"/>
      <c r="BC938" s="69"/>
      <c r="BD938" s="69"/>
      <c r="BE938" s="69"/>
      <c r="BF938" s="69"/>
      <c r="BG938" s="69"/>
      <c r="BH938" s="69"/>
      <c r="BI938" s="69"/>
      <c r="BJ938" s="69"/>
      <c r="BK938" s="69"/>
      <c r="BL938" s="69"/>
      <c r="BM938" s="69"/>
      <c r="BN938" s="69"/>
      <c r="BO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  <c r="AY939" s="69"/>
      <c r="AZ939" s="69"/>
      <c r="BA939" s="69"/>
      <c r="BB939" s="69"/>
      <c r="BC939" s="69"/>
      <c r="BD939" s="69"/>
      <c r="BE939" s="69"/>
      <c r="BF939" s="69"/>
      <c r="BG939" s="69"/>
      <c r="BH939" s="69"/>
      <c r="BI939" s="69"/>
      <c r="BJ939" s="69"/>
      <c r="BK939" s="69"/>
      <c r="BL939" s="69"/>
      <c r="BM939" s="69"/>
      <c r="BN939" s="69"/>
      <c r="BO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  <c r="AY940" s="69"/>
      <c r="AZ940" s="69"/>
      <c r="BA940" s="69"/>
      <c r="BB940" s="69"/>
      <c r="BC940" s="69"/>
      <c r="BD940" s="69"/>
      <c r="BE940" s="69"/>
      <c r="BF940" s="69"/>
      <c r="BG940" s="69"/>
      <c r="BH940" s="69"/>
      <c r="BI940" s="69"/>
      <c r="BJ940" s="69"/>
      <c r="BK940" s="69"/>
      <c r="BL940" s="69"/>
      <c r="BM940" s="69"/>
      <c r="BN940" s="69"/>
      <c r="BO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  <c r="AY941" s="69"/>
      <c r="AZ941" s="69"/>
      <c r="BA941" s="69"/>
      <c r="BB941" s="69"/>
      <c r="BC941" s="69"/>
      <c r="BD941" s="69"/>
      <c r="BE941" s="69"/>
      <c r="BF941" s="69"/>
      <c r="BG941" s="69"/>
      <c r="BH941" s="69"/>
      <c r="BI941" s="69"/>
      <c r="BJ941" s="69"/>
      <c r="BK941" s="69"/>
      <c r="BL941" s="69"/>
      <c r="BM941" s="69"/>
      <c r="BN941" s="69"/>
      <c r="BO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  <c r="AY942" s="69"/>
      <c r="AZ942" s="69"/>
      <c r="BA942" s="69"/>
      <c r="BB942" s="69"/>
      <c r="BC942" s="69"/>
      <c r="BD942" s="69"/>
      <c r="BE942" s="69"/>
      <c r="BF942" s="69"/>
      <c r="BG942" s="69"/>
      <c r="BH942" s="69"/>
      <c r="BI942" s="69"/>
      <c r="BJ942" s="69"/>
      <c r="BK942" s="69"/>
      <c r="BL942" s="69"/>
      <c r="BM942" s="69"/>
      <c r="BN942" s="69"/>
      <c r="BO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  <c r="AY943" s="69"/>
      <c r="AZ943" s="69"/>
      <c r="BA943" s="69"/>
      <c r="BB943" s="69"/>
      <c r="BC943" s="69"/>
      <c r="BD943" s="69"/>
      <c r="BE943" s="69"/>
      <c r="BF943" s="69"/>
      <c r="BG943" s="69"/>
      <c r="BH943" s="69"/>
      <c r="BI943" s="69"/>
      <c r="BJ943" s="69"/>
      <c r="BK943" s="69"/>
      <c r="BL943" s="69"/>
      <c r="BM943" s="69"/>
      <c r="BN943" s="69"/>
      <c r="BO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  <c r="AY944" s="69"/>
      <c r="AZ944" s="69"/>
      <c r="BA944" s="69"/>
      <c r="BB944" s="69"/>
      <c r="BC944" s="69"/>
      <c r="BD944" s="69"/>
      <c r="BE944" s="69"/>
      <c r="BF944" s="69"/>
      <c r="BG944" s="69"/>
      <c r="BH944" s="69"/>
      <c r="BI944" s="69"/>
      <c r="BJ944" s="69"/>
      <c r="BK944" s="69"/>
      <c r="BL944" s="69"/>
      <c r="BM944" s="69"/>
      <c r="BN944" s="69"/>
      <c r="BO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  <c r="AY945" s="69"/>
      <c r="AZ945" s="69"/>
      <c r="BA945" s="69"/>
      <c r="BB945" s="69"/>
      <c r="BC945" s="69"/>
      <c r="BD945" s="69"/>
      <c r="BE945" s="69"/>
      <c r="BF945" s="69"/>
      <c r="BG945" s="69"/>
      <c r="BH945" s="69"/>
      <c r="BI945" s="69"/>
      <c r="BJ945" s="69"/>
      <c r="BK945" s="69"/>
      <c r="BL945" s="69"/>
      <c r="BM945" s="69"/>
      <c r="BN945" s="69"/>
      <c r="BO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  <c r="AY946" s="69"/>
      <c r="AZ946" s="69"/>
      <c r="BA946" s="69"/>
      <c r="BB946" s="69"/>
      <c r="BC946" s="69"/>
      <c r="BD946" s="69"/>
      <c r="BE946" s="69"/>
      <c r="BF946" s="69"/>
      <c r="BG946" s="69"/>
      <c r="BH946" s="69"/>
      <c r="BI946" s="69"/>
      <c r="BJ946" s="69"/>
      <c r="BK946" s="69"/>
      <c r="BL946" s="69"/>
      <c r="BM946" s="69"/>
      <c r="BN946" s="69"/>
      <c r="BO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  <c r="AY947" s="69"/>
      <c r="AZ947" s="69"/>
      <c r="BA947" s="69"/>
      <c r="BB947" s="69"/>
      <c r="BC947" s="69"/>
      <c r="BD947" s="69"/>
      <c r="BE947" s="69"/>
      <c r="BF947" s="69"/>
      <c r="BG947" s="69"/>
      <c r="BH947" s="69"/>
      <c r="BI947" s="69"/>
      <c r="BJ947" s="69"/>
      <c r="BK947" s="69"/>
      <c r="BL947" s="69"/>
      <c r="BM947" s="69"/>
      <c r="BN947" s="69"/>
      <c r="BO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  <c r="AY948" s="69"/>
      <c r="AZ948" s="69"/>
      <c r="BA948" s="69"/>
      <c r="BB948" s="69"/>
      <c r="BC948" s="69"/>
      <c r="BD948" s="69"/>
      <c r="BE948" s="69"/>
      <c r="BF948" s="69"/>
      <c r="BG948" s="69"/>
      <c r="BH948" s="69"/>
      <c r="BI948" s="69"/>
      <c r="BJ948" s="69"/>
      <c r="BK948" s="69"/>
      <c r="BL948" s="69"/>
      <c r="BM948" s="69"/>
      <c r="BN948" s="69"/>
      <c r="BO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  <c r="AY949" s="69"/>
      <c r="AZ949" s="69"/>
      <c r="BA949" s="69"/>
      <c r="BB949" s="69"/>
      <c r="BC949" s="69"/>
      <c r="BD949" s="69"/>
      <c r="BE949" s="69"/>
      <c r="BF949" s="69"/>
      <c r="BG949" s="69"/>
      <c r="BH949" s="69"/>
      <c r="BI949" s="69"/>
      <c r="BJ949" s="69"/>
      <c r="BK949" s="69"/>
      <c r="BL949" s="69"/>
      <c r="BM949" s="69"/>
      <c r="BN949" s="69"/>
      <c r="BO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  <c r="AY950" s="69"/>
      <c r="AZ950" s="69"/>
      <c r="BA950" s="69"/>
      <c r="BB950" s="69"/>
      <c r="BC950" s="69"/>
      <c r="BD950" s="69"/>
      <c r="BE950" s="69"/>
      <c r="BF950" s="69"/>
      <c r="BG950" s="69"/>
      <c r="BH950" s="69"/>
      <c r="BI950" s="69"/>
      <c r="BJ950" s="69"/>
      <c r="BK950" s="69"/>
      <c r="BL950" s="69"/>
      <c r="BM950" s="69"/>
      <c r="BN950" s="69"/>
      <c r="BO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  <c r="AY951" s="69"/>
      <c r="AZ951" s="69"/>
      <c r="BA951" s="69"/>
      <c r="BB951" s="69"/>
      <c r="BC951" s="69"/>
      <c r="BD951" s="69"/>
      <c r="BE951" s="69"/>
      <c r="BF951" s="69"/>
      <c r="BG951" s="69"/>
      <c r="BH951" s="69"/>
      <c r="BI951" s="69"/>
      <c r="BJ951" s="69"/>
      <c r="BK951" s="69"/>
      <c r="BL951" s="69"/>
      <c r="BM951" s="69"/>
      <c r="BN951" s="69"/>
      <c r="BO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  <c r="AY952" s="69"/>
      <c r="AZ952" s="69"/>
      <c r="BA952" s="69"/>
      <c r="BB952" s="69"/>
      <c r="BC952" s="69"/>
      <c r="BD952" s="69"/>
      <c r="BE952" s="69"/>
      <c r="BF952" s="69"/>
      <c r="BG952" s="69"/>
      <c r="BH952" s="69"/>
      <c r="BI952" s="69"/>
      <c r="BJ952" s="69"/>
      <c r="BK952" s="69"/>
      <c r="BL952" s="69"/>
      <c r="BM952" s="69"/>
      <c r="BN952" s="69"/>
      <c r="BO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  <c r="AY953" s="69"/>
      <c r="AZ953" s="69"/>
      <c r="BA953" s="69"/>
      <c r="BB953" s="69"/>
      <c r="BC953" s="69"/>
      <c r="BD953" s="69"/>
      <c r="BE953" s="69"/>
      <c r="BF953" s="69"/>
      <c r="BG953" s="69"/>
      <c r="BH953" s="69"/>
      <c r="BI953" s="69"/>
      <c r="BJ953" s="69"/>
      <c r="BK953" s="69"/>
      <c r="BL953" s="69"/>
      <c r="BM953" s="69"/>
      <c r="BN953" s="69"/>
      <c r="BO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  <c r="AY954" s="69"/>
      <c r="AZ954" s="69"/>
      <c r="BA954" s="69"/>
      <c r="BB954" s="69"/>
      <c r="BC954" s="69"/>
      <c r="BD954" s="69"/>
      <c r="BE954" s="69"/>
      <c r="BF954" s="69"/>
      <c r="BG954" s="69"/>
      <c r="BH954" s="69"/>
      <c r="BI954" s="69"/>
      <c r="BJ954" s="69"/>
      <c r="BK954" s="69"/>
      <c r="BL954" s="69"/>
      <c r="BM954" s="69"/>
      <c r="BN954" s="69"/>
      <c r="BO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  <c r="AY955" s="69"/>
      <c r="AZ955" s="69"/>
      <c r="BA955" s="69"/>
      <c r="BB955" s="69"/>
      <c r="BC955" s="69"/>
      <c r="BD955" s="69"/>
      <c r="BE955" s="69"/>
      <c r="BF955" s="69"/>
      <c r="BG955" s="69"/>
      <c r="BH955" s="69"/>
      <c r="BI955" s="69"/>
      <c r="BJ955" s="69"/>
      <c r="BK955" s="69"/>
      <c r="BL955" s="69"/>
      <c r="BM955" s="69"/>
      <c r="BN955" s="69"/>
      <c r="BO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  <c r="AY956" s="69"/>
      <c r="AZ956" s="69"/>
      <c r="BA956" s="69"/>
      <c r="BB956" s="69"/>
      <c r="BC956" s="69"/>
      <c r="BD956" s="69"/>
      <c r="BE956" s="69"/>
      <c r="BF956" s="69"/>
      <c r="BG956" s="69"/>
      <c r="BH956" s="69"/>
      <c r="BI956" s="69"/>
      <c r="BJ956" s="69"/>
      <c r="BK956" s="69"/>
      <c r="BL956" s="69"/>
      <c r="BM956" s="69"/>
      <c r="BN956" s="69"/>
      <c r="BO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  <c r="AY957" s="69"/>
      <c r="AZ957" s="69"/>
      <c r="BA957" s="69"/>
      <c r="BB957" s="69"/>
      <c r="BC957" s="69"/>
      <c r="BD957" s="69"/>
      <c r="BE957" s="69"/>
      <c r="BF957" s="69"/>
      <c r="BG957" s="69"/>
      <c r="BH957" s="69"/>
      <c r="BI957" s="69"/>
      <c r="BJ957" s="69"/>
      <c r="BK957" s="69"/>
      <c r="BL957" s="69"/>
      <c r="BM957" s="69"/>
      <c r="BN957" s="69"/>
      <c r="BO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  <c r="AY958" s="69"/>
      <c r="AZ958" s="69"/>
      <c r="BA958" s="69"/>
      <c r="BB958" s="69"/>
      <c r="BC958" s="69"/>
      <c r="BD958" s="69"/>
      <c r="BE958" s="69"/>
      <c r="BF958" s="69"/>
      <c r="BG958" s="69"/>
      <c r="BH958" s="69"/>
      <c r="BI958" s="69"/>
      <c r="BJ958" s="69"/>
      <c r="BK958" s="69"/>
      <c r="BL958" s="69"/>
      <c r="BM958" s="69"/>
      <c r="BN958" s="69"/>
      <c r="BO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  <c r="AY959" s="69"/>
      <c r="AZ959" s="69"/>
      <c r="BA959" s="69"/>
      <c r="BB959" s="69"/>
      <c r="BC959" s="69"/>
      <c r="BD959" s="69"/>
      <c r="BE959" s="69"/>
      <c r="BF959" s="69"/>
      <c r="BG959" s="69"/>
      <c r="BH959" s="69"/>
      <c r="BI959" s="69"/>
      <c r="BJ959" s="69"/>
      <c r="BK959" s="69"/>
      <c r="BL959" s="69"/>
      <c r="BM959" s="69"/>
      <c r="BN959" s="69"/>
      <c r="BO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  <c r="AY960" s="69"/>
      <c r="AZ960" s="69"/>
      <c r="BA960" s="69"/>
      <c r="BB960" s="69"/>
      <c r="BC960" s="69"/>
      <c r="BD960" s="69"/>
      <c r="BE960" s="69"/>
      <c r="BF960" s="69"/>
      <c r="BG960" s="69"/>
      <c r="BH960" s="69"/>
      <c r="BI960" s="69"/>
      <c r="BJ960" s="69"/>
      <c r="BK960" s="69"/>
      <c r="BL960" s="69"/>
      <c r="BM960" s="69"/>
      <c r="BN960" s="69"/>
      <c r="BO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  <c r="AY961" s="69"/>
      <c r="AZ961" s="69"/>
      <c r="BA961" s="69"/>
      <c r="BB961" s="69"/>
      <c r="BC961" s="69"/>
      <c r="BD961" s="69"/>
      <c r="BE961" s="69"/>
      <c r="BF961" s="69"/>
      <c r="BG961" s="69"/>
      <c r="BH961" s="69"/>
      <c r="BI961" s="69"/>
      <c r="BJ961" s="69"/>
      <c r="BK961" s="69"/>
      <c r="BL961" s="69"/>
      <c r="BM961" s="69"/>
      <c r="BN961" s="69"/>
      <c r="BO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  <c r="AY962" s="69"/>
      <c r="AZ962" s="69"/>
      <c r="BA962" s="69"/>
      <c r="BB962" s="69"/>
      <c r="BC962" s="69"/>
      <c r="BD962" s="69"/>
      <c r="BE962" s="69"/>
      <c r="BF962" s="69"/>
      <c r="BG962" s="69"/>
      <c r="BH962" s="69"/>
      <c r="BI962" s="69"/>
      <c r="BJ962" s="69"/>
      <c r="BK962" s="69"/>
      <c r="BL962" s="69"/>
      <c r="BM962" s="69"/>
      <c r="BN962" s="69"/>
      <c r="BO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69"/>
      <c r="AZ963" s="69"/>
      <c r="BA963" s="69"/>
      <c r="BB963" s="69"/>
      <c r="BC963" s="69"/>
      <c r="BD963" s="69"/>
      <c r="BE963" s="69"/>
      <c r="BF963" s="69"/>
      <c r="BG963" s="69"/>
      <c r="BH963" s="69"/>
      <c r="BI963" s="69"/>
      <c r="BJ963" s="69"/>
      <c r="BK963" s="69"/>
      <c r="BL963" s="69"/>
      <c r="BM963" s="69"/>
      <c r="BN963" s="69"/>
      <c r="BO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  <c r="AY964" s="69"/>
      <c r="AZ964" s="69"/>
      <c r="BA964" s="69"/>
      <c r="BB964" s="69"/>
      <c r="BC964" s="69"/>
      <c r="BD964" s="69"/>
      <c r="BE964" s="69"/>
      <c r="BF964" s="69"/>
      <c r="BG964" s="69"/>
      <c r="BH964" s="69"/>
      <c r="BI964" s="69"/>
      <c r="BJ964" s="69"/>
      <c r="BK964" s="69"/>
      <c r="BL964" s="69"/>
      <c r="BM964" s="69"/>
      <c r="BN964" s="69"/>
      <c r="BO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  <c r="AY965" s="69"/>
      <c r="AZ965" s="69"/>
      <c r="BA965" s="69"/>
      <c r="BB965" s="69"/>
      <c r="BC965" s="69"/>
      <c r="BD965" s="69"/>
      <c r="BE965" s="69"/>
      <c r="BF965" s="69"/>
      <c r="BG965" s="69"/>
      <c r="BH965" s="69"/>
      <c r="BI965" s="69"/>
      <c r="BJ965" s="69"/>
      <c r="BK965" s="69"/>
      <c r="BL965" s="69"/>
      <c r="BM965" s="69"/>
      <c r="BN965" s="69"/>
      <c r="BO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  <c r="AY966" s="69"/>
      <c r="AZ966" s="69"/>
      <c r="BA966" s="69"/>
      <c r="BB966" s="69"/>
      <c r="BC966" s="69"/>
      <c r="BD966" s="69"/>
      <c r="BE966" s="69"/>
      <c r="BF966" s="69"/>
      <c r="BG966" s="69"/>
      <c r="BH966" s="69"/>
      <c r="BI966" s="69"/>
      <c r="BJ966" s="69"/>
      <c r="BK966" s="69"/>
      <c r="BL966" s="69"/>
      <c r="BM966" s="69"/>
      <c r="BN966" s="69"/>
      <c r="BO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  <c r="AY967" s="69"/>
      <c r="AZ967" s="69"/>
      <c r="BA967" s="69"/>
      <c r="BB967" s="69"/>
      <c r="BC967" s="69"/>
      <c r="BD967" s="69"/>
      <c r="BE967" s="69"/>
      <c r="BF967" s="69"/>
      <c r="BG967" s="69"/>
      <c r="BH967" s="69"/>
      <c r="BI967" s="69"/>
      <c r="BJ967" s="69"/>
      <c r="BK967" s="69"/>
      <c r="BL967" s="69"/>
      <c r="BM967" s="69"/>
      <c r="BN967" s="69"/>
      <c r="BO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  <c r="AY968" s="69"/>
      <c r="AZ968" s="69"/>
      <c r="BA968" s="69"/>
      <c r="BB968" s="69"/>
      <c r="BC968" s="69"/>
      <c r="BD968" s="69"/>
      <c r="BE968" s="69"/>
      <c r="BF968" s="69"/>
      <c r="BG968" s="69"/>
      <c r="BH968" s="69"/>
      <c r="BI968" s="69"/>
      <c r="BJ968" s="69"/>
      <c r="BK968" s="69"/>
      <c r="BL968" s="69"/>
      <c r="BM968" s="69"/>
      <c r="BN968" s="69"/>
      <c r="BO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  <c r="AY969" s="69"/>
      <c r="AZ969" s="69"/>
      <c r="BA969" s="69"/>
      <c r="BB969" s="69"/>
      <c r="BC969" s="69"/>
      <c r="BD969" s="69"/>
      <c r="BE969" s="69"/>
      <c r="BF969" s="69"/>
      <c r="BG969" s="69"/>
      <c r="BH969" s="69"/>
      <c r="BI969" s="69"/>
      <c r="BJ969" s="69"/>
      <c r="BK969" s="69"/>
      <c r="BL969" s="69"/>
      <c r="BM969" s="69"/>
      <c r="BN969" s="69"/>
      <c r="BO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  <c r="AY970" s="69"/>
      <c r="AZ970" s="69"/>
      <c r="BA970" s="69"/>
      <c r="BB970" s="69"/>
      <c r="BC970" s="69"/>
      <c r="BD970" s="69"/>
      <c r="BE970" s="69"/>
      <c r="BF970" s="69"/>
      <c r="BG970" s="69"/>
      <c r="BH970" s="69"/>
      <c r="BI970" s="69"/>
      <c r="BJ970" s="69"/>
      <c r="BK970" s="69"/>
      <c r="BL970" s="69"/>
      <c r="BM970" s="69"/>
      <c r="BN970" s="69"/>
      <c r="BO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  <c r="AY971" s="69"/>
      <c r="AZ971" s="69"/>
      <c r="BA971" s="69"/>
      <c r="BB971" s="69"/>
      <c r="BC971" s="69"/>
      <c r="BD971" s="69"/>
      <c r="BE971" s="69"/>
      <c r="BF971" s="69"/>
      <c r="BG971" s="69"/>
      <c r="BH971" s="69"/>
      <c r="BI971" s="69"/>
      <c r="BJ971" s="69"/>
      <c r="BK971" s="69"/>
      <c r="BL971" s="69"/>
      <c r="BM971" s="69"/>
      <c r="BN971" s="69"/>
      <c r="BO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  <c r="AY972" s="69"/>
      <c r="AZ972" s="69"/>
      <c r="BA972" s="69"/>
      <c r="BB972" s="69"/>
      <c r="BC972" s="69"/>
      <c r="BD972" s="69"/>
      <c r="BE972" s="69"/>
      <c r="BF972" s="69"/>
      <c r="BG972" s="69"/>
      <c r="BH972" s="69"/>
      <c r="BI972" s="69"/>
      <c r="BJ972" s="69"/>
      <c r="BK972" s="69"/>
      <c r="BL972" s="69"/>
      <c r="BM972" s="69"/>
      <c r="BN972" s="69"/>
      <c r="BO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  <c r="AY973" s="69"/>
      <c r="AZ973" s="69"/>
      <c r="BA973" s="69"/>
      <c r="BB973" s="69"/>
      <c r="BC973" s="69"/>
      <c r="BD973" s="69"/>
      <c r="BE973" s="69"/>
      <c r="BF973" s="69"/>
      <c r="BG973" s="69"/>
      <c r="BH973" s="69"/>
      <c r="BI973" s="69"/>
      <c r="BJ973" s="69"/>
      <c r="BK973" s="69"/>
      <c r="BL973" s="69"/>
      <c r="BM973" s="69"/>
      <c r="BN973" s="69"/>
      <c r="BO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  <c r="AY974" s="69"/>
      <c r="AZ974" s="69"/>
      <c r="BA974" s="69"/>
      <c r="BB974" s="69"/>
      <c r="BC974" s="69"/>
      <c r="BD974" s="69"/>
      <c r="BE974" s="69"/>
      <c r="BF974" s="69"/>
      <c r="BG974" s="69"/>
      <c r="BH974" s="69"/>
      <c r="BI974" s="69"/>
      <c r="BJ974" s="69"/>
      <c r="BK974" s="69"/>
      <c r="BL974" s="69"/>
      <c r="BM974" s="69"/>
      <c r="BN974" s="69"/>
      <c r="BO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  <c r="AY975" s="69"/>
      <c r="AZ975" s="69"/>
      <c r="BA975" s="69"/>
      <c r="BB975" s="69"/>
      <c r="BC975" s="69"/>
      <c r="BD975" s="69"/>
      <c r="BE975" s="69"/>
      <c r="BF975" s="69"/>
      <c r="BG975" s="69"/>
      <c r="BH975" s="69"/>
      <c r="BI975" s="69"/>
      <c r="BJ975" s="69"/>
      <c r="BK975" s="69"/>
      <c r="BL975" s="69"/>
      <c r="BM975" s="69"/>
      <c r="BN975" s="69"/>
      <c r="BO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  <c r="AY976" s="69"/>
      <c r="AZ976" s="69"/>
      <c r="BA976" s="69"/>
      <c r="BB976" s="69"/>
      <c r="BC976" s="69"/>
      <c r="BD976" s="69"/>
      <c r="BE976" s="69"/>
      <c r="BF976" s="69"/>
      <c r="BG976" s="69"/>
      <c r="BH976" s="69"/>
      <c r="BI976" s="69"/>
      <c r="BJ976" s="69"/>
      <c r="BK976" s="69"/>
      <c r="BL976" s="69"/>
      <c r="BM976" s="69"/>
      <c r="BN976" s="69"/>
      <c r="BO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  <c r="AY977" s="69"/>
      <c r="AZ977" s="69"/>
      <c r="BA977" s="69"/>
      <c r="BB977" s="69"/>
      <c r="BC977" s="69"/>
      <c r="BD977" s="69"/>
      <c r="BE977" s="69"/>
      <c r="BF977" s="69"/>
      <c r="BG977" s="69"/>
      <c r="BH977" s="69"/>
      <c r="BI977" s="69"/>
      <c r="BJ977" s="69"/>
      <c r="BK977" s="69"/>
      <c r="BL977" s="69"/>
      <c r="BM977" s="69"/>
      <c r="BN977" s="69"/>
      <c r="BO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  <c r="AY978" s="69"/>
      <c r="AZ978" s="69"/>
      <c r="BA978" s="69"/>
      <c r="BB978" s="69"/>
      <c r="BC978" s="69"/>
      <c r="BD978" s="69"/>
      <c r="BE978" s="69"/>
      <c r="BF978" s="69"/>
      <c r="BG978" s="69"/>
      <c r="BH978" s="69"/>
      <c r="BI978" s="69"/>
      <c r="BJ978" s="69"/>
      <c r="BK978" s="69"/>
      <c r="BL978" s="69"/>
      <c r="BM978" s="69"/>
      <c r="BN978" s="69"/>
      <c r="BO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  <c r="AY979" s="69"/>
      <c r="AZ979" s="69"/>
      <c r="BA979" s="69"/>
      <c r="BB979" s="69"/>
      <c r="BC979" s="69"/>
      <c r="BD979" s="69"/>
      <c r="BE979" s="69"/>
      <c r="BF979" s="69"/>
      <c r="BG979" s="69"/>
      <c r="BH979" s="69"/>
      <c r="BI979" s="69"/>
      <c r="BJ979" s="69"/>
      <c r="BK979" s="69"/>
      <c r="BL979" s="69"/>
      <c r="BM979" s="69"/>
      <c r="BN979" s="69"/>
      <c r="BO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  <c r="AY980" s="69"/>
      <c r="AZ980" s="69"/>
      <c r="BA980" s="69"/>
      <c r="BB980" s="69"/>
      <c r="BC980" s="69"/>
      <c r="BD980" s="69"/>
      <c r="BE980" s="69"/>
      <c r="BF980" s="69"/>
      <c r="BG980" s="69"/>
      <c r="BH980" s="69"/>
      <c r="BI980" s="69"/>
      <c r="BJ980" s="69"/>
      <c r="BK980" s="69"/>
      <c r="BL980" s="69"/>
      <c r="BM980" s="69"/>
      <c r="BN980" s="69"/>
      <c r="BO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  <c r="AY981" s="69"/>
      <c r="AZ981" s="69"/>
      <c r="BA981" s="69"/>
      <c r="BB981" s="69"/>
      <c r="BC981" s="69"/>
      <c r="BD981" s="69"/>
      <c r="BE981" s="69"/>
      <c r="BF981" s="69"/>
      <c r="BG981" s="69"/>
      <c r="BH981" s="69"/>
      <c r="BI981" s="69"/>
      <c r="BJ981" s="69"/>
      <c r="BK981" s="69"/>
      <c r="BL981" s="69"/>
      <c r="BM981" s="69"/>
      <c r="BN981" s="69"/>
      <c r="BO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  <c r="AY982" s="69"/>
      <c r="AZ982" s="69"/>
      <c r="BA982" s="69"/>
      <c r="BB982" s="69"/>
      <c r="BC982" s="69"/>
      <c r="BD982" s="69"/>
      <c r="BE982" s="69"/>
      <c r="BF982" s="69"/>
      <c r="BG982" s="69"/>
      <c r="BH982" s="69"/>
      <c r="BI982" s="69"/>
      <c r="BJ982" s="69"/>
      <c r="BK982" s="69"/>
      <c r="BL982" s="69"/>
      <c r="BM982" s="69"/>
      <c r="BN982" s="69"/>
      <c r="BO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  <c r="AY983" s="69"/>
      <c r="AZ983" s="69"/>
      <c r="BA983" s="69"/>
      <c r="BB983" s="69"/>
      <c r="BC983" s="69"/>
      <c r="BD983" s="69"/>
      <c r="BE983" s="69"/>
      <c r="BF983" s="69"/>
      <c r="BG983" s="69"/>
      <c r="BH983" s="69"/>
      <c r="BI983" s="69"/>
      <c r="BJ983" s="69"/>
      <c r="BK983" s="69"/>
      <c r="BL983" s="69"/>
      <c r="BM983" s="69"/>
      <c r="BN983" s="69"/>
      <c r="BO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  <c r="AY984" s="69"/>
      <c r="AZ984" s="69"/>
      <c r="BA984" s="69"/>
      <c r="BB984" s="69"/>
      <c r="BC984" s="69"/>
      <c r="BD984" s="69"/>
      <c r="BE984" s="69"/>
      <c r="BF984" s="69"/>
      <c r="BG984" s="69"/>
      <c r="BH984" s="69"/>
      <c r="BI984" s="69"/>
      <c r="BJ984" s="69"/>
      <c r="BK984" s="69"/>
      <c r="BL984" s="69"/>
      <c r="BM984" s="69"/>
      <c r="BN984" s="69"/>
      <c r="BO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  <c r="AY985" s="69"/>
      <c r="AZ985" s="69"/>
      <c r="BA985" s="69"/>
      <c r="BB985" s="69"/>
      <c r="BC985" s="69"/>
      <c r="BD985" s="69"/>
      <c r="BE985" s="69"/>
      <c r="BF985" s="69"/>
      <c r="BG985" s="69"/>
      <c r="BH985" s="69"/>
      <c r="BI985" s="69"/>
      <c r="BJ985" s="69"/>
      <c r="BK985" s="69"/>
      <c r="BL985" s="69"/>
      <c r="BM985" s="69"/>
      <c r="BN985" s="69"/>
      <c r="BO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  <c r="AY986" s="69"/>
      <c r="AZ986" s="69"/>
      <c r="BA986" s="69"/>
      <c r="BB986" s="69"/>
      <c r="BC986" s="69"/>
      <c r="BD986" s="69"/>
      <c r="BE986" s="69"/>
      <c r="BF986" s="69"/>
      <c r="BG986" s="69"/>
      <c r="BH986" s="69"/>
      <c r="BI986" s="69"/>
      <c r="BJ986" s="69"/>
      <c r="BK986" s="69"/>
      <c r="BL986" s="69"/>
      <c r="BM986" s="69"/>
      <c r="BN986" s="69"/>
      <c r="BO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  <c r="AY987" s="69"/>
      <c r="AZ987" s="69"/>
      <c r="BA987" s="69"/>
      <c r="BB987" s="69"/>
      <c r="BC987" s="69"/>
      <c r="BD987" s="69"/>
      <c r="BE987" s="69"/>
      <c r="BF987" s="69"/>
      <c r="BG987" s="69"/>
      <c r="BH987" s="69"/>
      <c r="BI987" s="69"/>
      <c r="BJ987" s="69"/>
      <c r="BK987" s="69"/>
      <c r="BL987" s="69"/>
      <c r="BM987" s="69"/>
      <c r="BN987" s="69"/>
      <c r="BO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  <c r="AY988" s="69"/>
      <c r="AZ988" s="69"/>
      <c r="BA988" s="69"/>
      <c r="BB988" s="69"/>
      <c r="BC988" s="69"/>
      <c r="BD988" s="69"/>
      <c r="BE988" s="69"/>
      <c r="BF988" s="69"/>
      <c r="BG988" s="69"/>
      <c r="BH988" s="69"/>
      <c r="BI988" s="69"/>
      <c r="BJ988" s="69"/>
      <c r="BK988" s="69"/>
      <c r="BL988" s="69"/>
      <c r="BM988" s="69"/>
      <c r="BN988" s="69"/>
      <c r="BO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  <c r="AY989" s="69"/>
      <c r="AZ989" s="69"/>
      <c r="BA989" s="69"/>
      <c r="BB989" s="69"/>
      <c r="BC989" s="69"/>
      <c r="BD989" s="69"/>
      <c r="BE989" s="69"/>
      <c r="BF989" s="69"/>
      <c r="BG989" s="69"/>
      <c r="BH989" s="69"/>
      <c r="BI989" s="69"/>
      <c r="BJ989" s="69"/>
      <c r="BK989" s="69"/>
      <c r="BL989" s="69"/>
      <c r="BM989" s="69"/>
      <c r="BN989" s="69"/>
      <c r="BO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  <c r="AY990" s="69"/>
      <c r="AZ990" s="69"/>
      <c r="BA990" s="69"/>
      <c r="BB990" s="69"/>
      <c r="BC990" s="69"/>
      <c r="BD990" s="69"/>
      <c r="BE990" s="69"/>
      <c r="BF990" s="69"/>
      <c r="BG990" s="69"/>
      <c r="BH990" s="69"/>
      <c r="BI990" s="69"/>
      <c r="BJ990" s="69"/>
      <c r="BK990" s="69"/>
      <c r="BL990" s="69"/>
      <c r="BM990" s="69"/>
      <c r="BN990" s="69"/>
      <c r="BO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  <c r="AY991" s="69"/>
      <c r="AZ991" s="69"/>
      <c r="BA991" s="69"/>
      <c r="BB991" s="69"/>
      <c r="BC991" s="69"/>
      <c r="BD991" s="69"/>
      <c r="BE991" s="69"/>
      <c r="BF991" s="69"/>
      <c r="BG991" s="69"/>
      <c r="BH991" s="69"/>
      <c r="BI991" s="69"/>
      <c r="BJ991" s="69"/>
      <c r="BK991" s="69"/>
      <c r="BL991" s="69"/>
      <c r="BM991" s="69"/>
      <c r="BN991" s="69"/>
      <c r="BO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  <c r="AY992" s="69"/>
      <c r="AZ992" s="69"/>
      <c r="BA992" s="69"/>
      <c r="BB992" s="69"/>
      <c r="BC992" s="69"/>
      <c r="BD992" s="69"/>
      <c r="BE992" s="69"/>
      <c r="BF992" s="69"/>
      <c r="BG992" s="69"/>
      <c r="BH992" s="69"/>
      <c r="BI992" s="69"/>
      <c r="BJ992" s="69"/>
      <c r="BK992" s="69"/>
      <c r="BL992" s="69"/>
      <c r="BM992" s="69"/>
      <c r="BN992" s="69"/>
      <c r="BO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  <c r="AY993" s="69"/>
      <c r="AZ993" s="69"/>
      <c r="BA993" s="69"/>
      <c r="BB993" s="69"/>
      <c r="BC993" s="69"/>
      <c r="BD993" s="69"/>
      <c r="BE993" s="69"/>
      <c r="BF993" s="69"/>
      <c r="BG993" s="69"/>
      <c r="BH993" s="69"/>
      <c r="BI993" s="69"/>
      <c r="BJ993" s="69"/>
      <c r="BK993" s="69"/>
      <c r="BL993" s="69"/>
      <c r="BM993" s="69"/>
      <c r="BN993" s="69"/>
      <c r="BO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  <c r="AY994" s="69"/>
      <c r="AZ994" s="69"/>
      <c r="BA994" s="69"/>
      <c r="BB994" s="69"/>
      <c r="BC994" s="69"/>
      <c r="BD994" s="69"/>
      <c r="BE994" s="69"/>
      <c r="BF994" s="69"/>
      <c r="BG994" s="69"/>
      <c r="BH994" s="69"/>
      <c r="BI994" s="69"/>
      <c r="BJ994" s="69"/>
      <c r="BK994" s="69"/>
      <c r="BL994" s="69"/>
      <c r="BM994" s="69"/>
      <c r="BN994" s="69"/>
      <c r="BO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  <c r="AY995" s="69"/>
      <c r="AZ995" s="69"/>
      <c r="BA995" s="69"/>
      <c r="BB995" s="69"/>
      <c r="BC995" s="69"/>
      <c r="BD995" s="69"/>
      <c r="BE995" s="69"/>
      <c r="BF995" s="69"/>
      <c r="BG995" s="69"/>
      <c r="BH995" s="69"/>
      <c r="BI995" s="69"/>
      <c r="BJ995" s="69"/>
      <c r="BK995" s="69"/>
      <c r="BL995" s="69"/>
      <c r="BM995" s="69"/>
      <c r="BN995" s="69"/>
      <c r="BO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  <c r="AY996" s="69"/>
      <c r="AZ996" s="69"/>
      <c r="BA996" s="69"/>
      <c r="BB996" s="69"/>
      <c r="BC996" s="69"/>
      <c r="BD996" s="69"/>
      <c r="BE996" s="69"/>
      <c r="BF996" s="69"/>
      <c r="BG996" s="69"/>
      <c r="BH996" s="69"/>
      <c r="BI996" s="69"/>
      <c r="BJ996" s="69"/>
      <c r="BK996" s="69"/>
      <c r="BL996" s="69"/>
      <c r="BM996" s="69"/>
      <c r="BN996" s="69"/>
      <c r="BO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  <c r="AY997" s="69"/>
      <c r="AZ997" s="69"/>
      <c r="BA997" s="69"/>
      <c r="BB997" s="69"/>
      <c r="BC997" s="69"/>
      <c r="BD997" s="69"/>
      <c r="BE997" s="69"/>
      <c r="BF997" s="69"/>
      <c r="BG997" s="69"/>
      <c r="BH997" s="69"/>
      <c r="BI997" s="69"/>
      <c r="BJ997" s="69"/>
      <c r="BK997" s="69"/>
      <c r="BL997" s="69"/>
      <c r="BM997" s="69"/>
      <c r="BN997" s="69"/>
      <c r="BO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  <c r="AY998" s="69"/>
      <c r="AZ998" s="69"/>
      <c r="BA998" s="69"/>
      <c r="BB998" s="69"/>
      <c r="BC998" s="69"/>
      <c r="BD998" s="69"/>
      <c r="BE998" s="69"/>
      <c r="BF998" s="69"/>
      <c r="BG998" s="69"/>
      <c r="BH998" s="69"/>
      <c r="BI998" s="69"/>
      <c r="BJ998" s="69"/>
      <c r="BK998" s="69"/>
      <c r="BL998" s="69"/>
      <c r="BM998" s="69"/>
      <c r="BN998" s="69"/>
      <c r="BO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  <c r="AY999" s="69"/>
      <c r="AZ999" s="69"/>
      <c r="BA999" s="69"/>
      <c r="BB999" s="69"/>
      <c r="BC999" s="69"/>
      <c r="BD999" s="69"/>
      <c r="BE999" s="69"/>
      <c r="BF999" s="69"/>
      <c r="BG999" s="69"/>
      <c r="BH999" s="69"/>
      <c r="BI999" s="69"/>
      <c r="BJ999" s="69"/>
      <c r="BK999" s="69"/>
      <c r="BL999" s="69"/>
      <c r="BM999" s="69"/>
      <c r="BN999" s="69"/>
      <c r="BO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  <c r="AY1000" s="69"/>
      <c r="AZ1000" s="69"/>
      <c r="BA1000" s="69"/>
      <c r="BB1000" s="69"/>
      <c r="BC1000" s="69"/>
      <c r="BD1000" s="69"/>
      <c r="BE1000" s="69"/>
      <c r="BF1000" s="69"/>
      <c r="BG1000" s="69"/>
      <c r="BH1000" s="69"/>
      <c r="BI1000" s="69"/>
      <c r="BJ1000" s="69"/>
      <c r="BK1000" s="69"/>
      <c r="BL1000" s="69"/>
      <c r="BM1000" s="69"/>
      <c r="BN1000" s="69"/>
      <c r="BO1000" s="69"/>
    </row>
  </sheetData>
  <mergeCells count="25">
    <mergeCell ref="Z3:AF3"/>
    <mergeCell ref="AG3:AM3"/>
    <mergeCell ref="V5:AT5"/>
    <mergeCell ref="V6:AG6"/>
    <mergeCell ref="AH6:AT6"/>
    <mergeCell ref="AN3:AS3"/>
    <mergeCell ref="AT3:BA3"/>
    <mergeCell ref="AU5:BA6"/>
    <mergeCell ref="A1:AM2"/>
    <mergeCell ref="AN1:AS1"/>
    <mergeCell ref="AT1:BA1"/>
    <mergeCell ref="AN2:AS2"/>
    <mergeCell ref="AT2:BA2"/>
    <mergeCell ref="A3:F3"/>
    <mergeCell ref="G3:M3"/>
    <mergeCell ref="A22:B27"/>
    <mergeCell ref="A28:B32"/>
    <mergeCell ref="A33:B37"/>
    <mergeCell ref="N3:T3"/>
    <mergeCell ref="U3:Y3"/>
    <mergeCell ref="A5:B6"/>
    <mergeCell ref="C5:I6"/>
    <mergeCell ref="J5:O6"/>
    <mergeCell ref="P5:U6"/>
    <mergeCell ref="A7:B21"/>
  </mergeCells>
  <printOptions/>
  <pageMargins bottom="0.64" footer="0.0" header="0.0" left="0.393700787401575" right="0.13" top="0.748031496062992"/>
  <pageSetup paperSize="9" scale="9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97" t="str">
        <f>'2'!A1:AP2</f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98" t="s">
        <v>43</v>
      </c>
      <c r="AL1" s="5"/>
      <c r="AM1" s="5"/>
      <c r="AN1" s="5"/>
      <c r="AO1" s="5"/>
      <c r="AP1" s="6"/>
      <c r="AQ1" s="98" t="s">
        <v>44</v>
      </c>
      <c r="AR1" s="5"/>
      <c r="AS1" s="5"/>
      <c r="AT1" s="5"/>
      <c r="AU1" s="5"/>
      <c r="AV1" s="5"/>
      <c r="AW1" s="5"/>
      <c r="AX1" s="6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98" t="s">
        <v>45</v>
      </c>
      <c r="AL2" s="5"/>
      <c r="AM2" s="5"/>
      <c r="AN2" s="5"/>
      <c r="AO2" s="5"/>
      <c r="AP2" s="6"/>
      <c r="AQ2" s="182">
        <v>2.0</v>
      </c>
      <c r="AR2" s="5"/>
      <c r="AS2" s="5"/>
      <c r="AT2" s="5"/>
      <c r="AU2" s="5"/>
      <c r="AV2" s="5"/>
      <c r="AW2" s="5"/>
      <c r="AX2" s="6"/>
    </row>
    <row r="3" ht="20.25" customHeight="1">
      <c r="A3" s="103" t="s">
        <v>46</v>
      </c>
      <c r="B3" s="5"/>
      <c r="C3" s="5"/>
      <c r="D3" s="5"/>
      <c r="E3" s="5"/>
      <c r="F3" s="6"/>
      <c r="G3" s="104" t="str">
        <f>'[1]2'!G3:M3</f>
        <v>#REF!</v>
      </c>
      <c r="H3" s="5"/>
      <c r="I3" s="5"/>
      <c r="J3" s="5"/>
      <c r="K3" s="5"/>
      <c r="L3" s="6"/>
      <c r="M3" s="103" t="s">
        <v>47</v>
      </c>
      <c r="N3" s="5"/>
      <c r="O3" s="5"/>
      <c r="P3" s="5"/>
      <c r="Q3" s="5"/>
      <c r="R3" s="6"/>
      <c r="S3" s="103">
        <v>1.0</v>
      </c>
      <c r="T3" s="5"/>
      <c r="U3" s="5"/>
      <c r="V3" s="5"/>
      <c r="W3" s="5"/>
      <c r="X3" s="6"/>
      <c r="Y3" s="103" t="s">
        <v>48</v>
      </c>
      <c r="Z3" s="5"/>
      <c r="AA3" s="5"/>
      <c r="AB3" s="5"/>
      <c r="AC3" s="5"/>
      <c r="AD3" s="6"/>
      <c r="AE3" s="104">
        <v>45805.0</v>
      </c>
      <c r="AF3" s="5"/>
      <c r="AG3" s="5"/>
      <c r="AH3" s="5"/>
      <c r="AI3" s="5"/>
      <c r="AJ3" s="6"/>
      <c r="AK3" s="98" t="s">
        <v>49</v>
      </c>
      <c r="AL3" s="5"/>
      <c r="AM3" s="5"/>
      <c r="AN3" s="5"/>
      <c r="AO3" s="5"/>
      <c r="AP3" s="6"/>
      <c r="AQ3" s="105">
        <v>45805.0</v>
      </c>
      <c r="AR3" s="5"/>
      <c r="AS3" s="5"/>
      <c r="AT3" s="5"/>
      <c r="AU3" s="5"/>
      <c r="AV3" s="5"/>
      <c r="AW3" s="5"/>
      <c r="AX3" s="6"/>
    </row>
    <row r="4" ht="16.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128"/>
      <c r="AR4" s="128"/>
      <c r="AS4" s="128"/>
      <c r="AT4" s="128"/>
      <c r="AU4" s="23"/>
      <c r="AV4" s="23"/>
      <c r="AW4" s="23"/>
      <c r="AX4" s="23"/>
    </row>
    <row r="5" ht="16.5" customHeight="1">
      <c r="A5" s="183" t="s">
        <v>86</v>
      </c>
      <c r="B5" s="137"/>
      <c r="C5" s="137"/>
      <c r="D5" s="137"/>
      <c r="E5" s="137"/>
      <c r="F5" s="184"/>
      <c r="G5" s="184"/>
      <c r="H5" s="184"/>
      <c r="I5" s="184"/>
      <c r="J5" s="184"/>
      <c r="K5" s="184"/>
      <c r="L5" s="184"/>
      <c r="M5" s="184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</row>
    <row r="6" ht="16.5" customHeight="1">
      <c r="A6" s="186" t="s">
        <v>87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</row>
    <row r="7" ht="16.5" customHeight="1">
      <c r="A7" s="186" t="s">
        <v>88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</row>
    <row r="8" ht="16.5" customHeight="1">
      <c r="A8" s="186" t="s">
        <v>89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</row>
    <row r="9" ht="16.5" customHeight="1">
      <c r="A9" s="186" t="s">
        <v>90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</row>
    <row r="10" ht="16.5" customHeight="1">
      <c r="A10" s="186" t="s">
        <v>91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</row>
    <row r="11" ht="16.5" customHeight="1">
      <c r="A11" s="186" t="s">
        <v>92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</row>
    <row r="12" ht="16.5" customHeight="1">
      <c r="A12" s="186"/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</row>
    <row r="13" ht="16.5" customHeight="1">
      <c r="A13" s="183" t="s">
        <v>93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23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</row>
    <row r="14" ht="16.5" customHeight="1">
      <c r="A14" s="186" t="s">
        <v>94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</row>
    <row r="15" ht="16.5" customHeight="1">
      <c r="A15" s="186" t="s">
        <v>95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</row>
    <row r="16" ht="16.5" customHeight="1">
      <c r="A16" s="186" t="s">
        <v>96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23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</row>
    <row r="17" ht="16.5" customHeight="1">
      <c r="A17" s="186" t="s">
        <v>97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</row>
    <row r="18" ht="16.5" customHeight="1">
      <c r="A18" s="186" t="s">
        <v>98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</row>
    <row r="19" ht="16.5" customHeight="1">
      <c r="A19" s="186" t="s">
        <v>99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34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</row>
    <row r="20" ht="16.5" customHeight="1">
      <c r="A20" s="186" t="s">
        <v>100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</row>
    <row r="21" ht="16.5" customHeight="1">
      <c r="A21" s="186" t="s">
        <v>101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</row>
    <row r="22" ht="16.5" customHeight="1">
      <c r="A22" s="186" t="s">
        <v>102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</row>
    <row r="23" ht="16.5" customHeight="1">
      <c r="A23" s="186" t="s">
        <v>103</v>
      </c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  <c r="AW23" s="185"/>
      <c r="AX23" s="185"/>
    </row>
    <row r="24" ht="16.5" customHeight="1">
      <c r="A24" s="186" t="s">
        <v>104</v>
      </c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</row>
    <row r="25" ht="16.5" customHeight="1">
      <c r="A25" s="186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</row>
    <row r="26" ht="16.5" customHeight="1">
      <c r="A26" s="183" t="s">
        <v>105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</row>
    <row r="27" ht="16.5" customHeight="1">
      <c r="A27" s="186" t="s">
        <v>106</v>
      </c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</row>
    <row r="28" ht="16.5" customHeight="1">
      <c r="A28" s="186" t="s">
        <v>107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</row>
    <row r="29" ht="16.5" customHeight="1">
      <c r="A29" s="186" t="s">
        <v>108</v>
      </c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</row>
    <row r="30" ht="16.5" customHeight="1">
      <c r="A30" s="186" t="s">
        <v>109</v>
      </c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</row>
    <row r="31" ht="16.5" customHeight="1">
      <c r="A31" s="186" t="s">
        <v>110</v>
      </c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</row>
    <row r="32" ht="16.5" customHeight="1">
      <c r="A32" s="186" t="s">
        <v>111</v>
      </c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</row>
    <row r="33" ht="16.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</row>
    <row r="34" ht="16.5" customHeight="1">
      <c r="A34" s="186" t="s">
        <v>112</v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</row>
    <row r="35" ht="16.5" customHeight="1">
      <c r="A35" s="187" t="s">
        <v>113</v>
      </c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</row>
    <row r="36" ht="16.5" customHeight="1">
      <c r="A36" s="187" t="s">
        <v>114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</row>
    <row r="37" ht="16.5" customHeight="1">
      <c r="A37" s="187" t="s">
        <v>115</v>
      </c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5"/>
      <c r="AX37" s="185"/>
    </row>
    <row r="38" ht="16.5" customHeight="1">
      <c r="A38" s="187" t="s">
        <v>116</v>
      </c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185"/>
      <c r="AT38" s="185"/>
      <c r="AU38" s="185"/>
      <c r="AV38" s="185"/>
      <c r="AW38" s="185"/>
      <c r="AX38" s="185"/>
    </row>
    <row r="39" ht="16.5" customHeight="1">
      <c r="A39" s="187" t="s">
        <v>117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</row>
    <row r="40" ht="16.5" customHeight="1">
      <c r="A40" s="187" t="s">
        <v>118</v>
      </c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5"/>
      <c r="AU40" s="185"/>
      <c r="AV40" s="185"/>
      <c r="AW40" s="185"/>
      <c r="AX40" s="185"/>
    </row>
    <row r="41" ht="16.5" customHeight="1">
      <c r="A41" s="187" t="s">
        <v>119</v>
      </c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5"/>
      <c r="AU41" s="185"/>
      <c r="AV41" s="185"/>
      <c r="AW41" s="185"/>
      <c r="AX41" s="185"/>
    </row>
    <row r="42" ht="16.5" customHeight="1">
      <c r="A42" s="187" t="s">
        <v>120</v>
      </c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  <c r="AV42" s="185"/>
      <c r="AW42" s="185"/>
      <c r="AX42" s="185"/>
    </row>
    <row r="43" ht="16.5" customHeight="1">
      <c r="A43" s="187" t="s">
        <v>121</v>
      </c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 s="185"/>
      <c r="AX43" s="185"/>
    </row>
    <row r="44" ht="16.5" customHeight="1">
      <c r="A44" s="187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  <c r="AW44" s="185"/>
      <c r="AX44" s="185"/>
    </row>
    <row r="45" ht="16.5" customHeight="1">
      <c r="A45" s="183" t="s">
        <v>122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</row>
    <row r="46" ht="16.5" customHeight="1">
      <c r="A46" s="187" t="s">
        <v>123</v>
      </c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185"/>
      <c r="AT46" s="185"/>
      <c r="AU46" s="185"/>
      <c r="AV46" s="185"/>
      <c r="AW46" s="185"/>
      <c r="AX46" s="185"/>
    </row>
    <row r="47" ht="16.5" customHeight="1">
      <c r="A47" s="187" t="s">
        <v>124</v>
      </c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185"/>
      <c r="AS47" s="185"/>
      <c r="AT47" s="185"/>
      <c r="AU47" s="185"/>
      <c r="AV47" s="185"/>
      <c r="AW47" s="185"/>
      <c r="AX47" s="185"/>
    </row>
    <row r="48" ht="16.5" customHeight="1">
      <c r="A48" s="187" t="s">
        <v>125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5"/>
      <c r="AU48" s="185"/>
      <c r="AV48" s="185"/>
      <c r="AW48" s="185"/>
      <c r="AX48" s="185"/>
    </row>
    <row r="49" ht="16.5" customHeight="1">
      <c r="A49" s="187" t="s">
        <v>126</v>
      </c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5"/>
      <c r="AU49" s="185"/>
      <c r="AV49" s="185"/>
      <c r="AW49" s="185"/>
      <c r="AX49" s="185"/>
    </row>
    <row r="50" ht="16.5" customHeight="1">
      <c r="A50" s="187" t="s">
        <v>127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</row>
    <row r="51" ht="16.5" customHeight="1">
      <c r="A51" s="187" t="s">
        <v>128</v>
      </c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5"/>
      <c r="AU51" s="185"/>
      <c r="AV51" s="185"/>
      <c r="AW51" s="185"/>
      <c r="AX51" s="185"/>
    </row>
    <row r="52" ht="16.5" customHeight="1">
      <c r="A52" s="187" t="s">
        <v>129</v>
      </c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185"/>
      <c r="AT52" s="185"/>
      <c r="AU52" s="185"/>
      <c r="AV52" s="185"/>
      <c r="AW52" s="185"/>
      <c r="AX52" s="185"/>
    </row>
    <row r="53" ht="16.5" customHeight="1">
      <c r="A53" s="187" t="s">
        <v>130</v>
      </c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85"/>
      <c r="AV53" s="185"/>
      <c r="AW53" s="185"/>
      <c r="AX53" s="185"/>
    </row>
    <row r="54" ht="16.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</row>
    <row r="55" ht="16.5" customHeight="1">
      <c r="A55" s="137" t="s">
        <v>131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</row>
    <row r="56" ht="16.5" customHeight="1">
      <c r="A56" s="137" t="s">
        <v>132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</row>
    <row r="57" ht="16.5" customHeight="1">
      <c r="A57" s="137" t="s">
        <v>133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</row>
    <row r="58" ht="16.5" customHeight="1">
      <c r="A58" s="188" t="s">
        <v>134</v>
      </c>
      <c r="B58" s="189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5"/>
      <c r="AX58" s="185"/>
    </row>
    <row r="59" ht="16.5" customHeight="1">
      <c r="A59" s="190" t="s">
        <v>135</v>
      </c>
      <c r="B59" s="189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185"/>
      <c r="AT59" s="185"/>
      <c r="AU59" s="185"/>
      <c r="AV59" s="185"/>
      <c r="AW59" s="185"/>
      <c r="AX59" s="185"/>
    </row>
    <row r="60" ht="16.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</row>
    <row r="61" ht="16.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</row>
    <row r="62" ht="16.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</row>
    <row r="63" ht="16.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</row>
    <row r="64" ht="16.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</row>
    <row r="65" ht="16.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85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</row>
    <row r="66" ht="16.5" customHeight="1">
      <c r="A66" s="137"/>
      <c r="B66" s="137"/>
      <c r="C66" s="137"/>
      <c r="D66" s="185"/>
      <c r="E66" s="184"/>
      <c r="F66" s="184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</row>
    <row r="67" ht="16.5" customHeight="1">
      <c r="A67" s="137"/>
      <c r="B67" s="137"/>
      <c r="C67" s="137"/>
      <c r="D67" s="185"/>
      <c r="E67" s="184"/>
      <c r="F67" s="184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</row>
    <row r="68" ht="16.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</row>
    <row r="69" ht="16.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</row>
    <row r="70" ht="16.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</row>
    <row r="71" ht="16.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</row>
    <row r="72" ht="16.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</row>
    <row r="73" ht="16.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</row>
    <row r="74" ht="16.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</row>
    <row r="75" ht="16.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</row>
    <row r="76" ht="16.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</row>
    <row r="77" ht="16.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</row>
    <row r="78" ht="16.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</row>
    <row r="79" ht="16.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</row>
    <row r="80" ht="16.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</row>
    <row r="81" ht="16.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</row>
    <row r="82" ht="16.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</row>
    <row r="83" ht="16.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</row>
    <row r="84" ht="16.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</row>
    <row r="85" ht="16.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</row>
    <row r="86" ht="16.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</row>
    <row r="87" ht="16.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</row>
    <row r="88" ht="16.5" customHeight="1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  <c r="AL88" s="191"/>
      <c r="AM88" s="191"/>
      <c r="AN88" s="191"/>
      <c r="AO88" s="191"/>
      <c r="AP88" s="191"/>
      <c r="AQ88" s="191"/>
      <c r="AR88" s="191"/>
      <c r="AS88" s="191"/>
      <c r="AT88" s="191"/>
      <c r="AU88" s="191"/>
      <c r="AV88" s="191"/>
      <c r="AW88" s="191"/>
      <c r="AX88" s="191"/>
    </row>
    <row r="89" ht="19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</row>
    <row r="90" ht="19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</row>
    <row r="91" ht="19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</row>
    <row r="92" ht="19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</row>
    <row r="93" ht="19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</row>
    <row r="94" ht="19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</row>
    <row r="95" ht="19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</row>
    <row r="96" ht="19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</row>
    <row r="97" ht="19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</row>
    <row r="98" ht="19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</row>
    <row r="99" ht="19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</row>
    <row r="100" ht="19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</row>
    <row r="101" ht="19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</row>
    <row r="102" ht="19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</row>
    <row r="103" ht="19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</row>
    <row r="104" ht="19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</row>
    <row r="105" ht="19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</row>
    <row r="106" ht="19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</row>
    <row r="107" ht="19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</row>
    <row r="108" ht="19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</row>
    <row r="109" ht="19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</row>
    <row r="110" ht="19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</row>
    <row r="111" ht="19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</row>
    <row r="112" ht="19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</row>
    <row r="113" ht="19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</row>
    <row r="114" ht="19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</row>
    <row r="115" ht="19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</row>
    <row r="116" ht="19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</row>
    <row r="117" ht="19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</row>
    <row r="118" ht="19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</row>
    <row r="119" ht="19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</row>
    <row r="120" ht="19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</row>
    <row r="121" ht="19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</row>
    <row r="122" ht="19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</row>
    <row r="123" ht="19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</row>
    <row r="124" ht="19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</row>
    <row r="125" ht="19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</row>
    <row r="126" ht="19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</row>
    <row r="127" ht="19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</row>
    <row r="128" ht="19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</row>
    <row r="129" ht="19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</row>
    <row r="130" ht="19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</row>
    <row r="131" ht="19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</row>
    <row r="132" ht="19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</row>
    <row r="133" ht="19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</row>
    <row r="134" ht="19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</row>
    <row r="135" ht="19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</row>
    <row r="136" ht="19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</row>
    <row r="137" ht="19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</row>
    <row r="138" ht="19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</row>
    <row r="139" ht="19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</row>
    <row r="140" ht="19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</row>
    <row r="141" ht="19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</row>
    <row r="142" ht="19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</row>
    <row r="143" ht="19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</row>
    <row r="144" ht="19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</row>
    <row r="145" ht="19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</row>
    <row r="146" ht="19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</row>
    <row r="147" ht="19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</row>
    <row r="148" ht="19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</row>
    <row r="149" ht="19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</row>
    <row r="150" ht="19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</row>
    <row r="151" ht="19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</row>
    <row r="152" ht="19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</row>
    <row r="153" ht="19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</row>
    <row r="154" ht="19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</row>
    <row r="155" ht="19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</row>
    <row r="156" ht="19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</row>
    <row r="157" ht="19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</row>
    <row r="158" ht="19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</row>
    <row r="159" ht="19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</row>
    <row r="160" ht="19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</row>
    <row r="161" ht="19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</row>
    <row r="162" ht="19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</row>
    <row r="163" ht="19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</row>
    <row r="164" ht="19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</row>
    <row r="165" ht="19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</row>
    <row r="166" ht="19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</row>
    <row r="167" ht="19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</row>
    <row r="168" ht="19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</row>
    <row r="169" ht="19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</row>
    <row r="170" ht="19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</row>
    <row r="171" ht="19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</row>
    <row r="172" ht="19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</row>
    <row r="173" ht="19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</row>
    <row r="174" ht="19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</row>
    <row r="175" ht="19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</row>
    <row r="176" ht="19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</row>
    <row r="177" ht="19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</row>
    <row r="178" ht="19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</row>
    <row r="179" ht="19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</row>
    <row r="180" ht="19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</row>
    <row r="181" ht="19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</row>
    <row r="182" ht="19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</row>
    <row r="183" ht="19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</row>
    <row r="184" ht="19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</row>
    <row r="185" ht="19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</row>
    <row r="186" ht="19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</row>
    <row r="187" ht="19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</row>
    <row r="188" ht="19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</row>
    <row r="189" ht="19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</row>
    <row r="190" ht="19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</row>
    <row r="191" ht="19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</row>
    <row r="192" ht="19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</row>
    <row r="193" ht="19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</row>
    <row r="194" ht="19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</row>
    <row r="195" ht="19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</row>
    <row r="196" ht="19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</row>
    <row r="197" ht="19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</row>
    <row r="198" ht="19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</row>
    <row r="199" ht="19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</row>
    <row r="200" ht="19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</row>
    <row r="201" ht="19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</row>
    <row r="202" ht="19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</row>
    <row r="203" ht="19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</row>
    <row r="204" ht="19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</row>
    <row r="205" ht="19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</row>
    <row r="206" ht="19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</row>
    <row r="207" ht="19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</row>
    <row r="208" ht="19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</row>
    <row r="209" ht="19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</row>
    <row r="210" ht="19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</row>
    <row r="211" ht="19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</row>
    <row r="212" ht="19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</row>
    <row r="213" ht="19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</row>
    <row r="214" ht="19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</row>
    <row r="215" ht="19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</row>
    <row r="216" ht="19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</row>
    <row r="217" ht="19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</row>
    <row r="218" ht="19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</row>
    <row r="219" ht="19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</row>
    <row r="220" ht="19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</row>
    <row r="221" ht="19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</row>
    <row r="222" ht="19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</row>
    <row r="223" ht="19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</row>
    <row r="224" ht="19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</row>
    <row r="225" ht="19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</row>
    <row r="226" ht="19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</row>
    <row r="227" ht="19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</row>
    <row r="228" ht="19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</row>
    <row r="229" ht="19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</row>
    <row r="230" ht="19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</row>
    <row r="231" ht="19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</row>
    <row r="232" ht="19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</row>
    <row r="233" ht="19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</row>
    <row r="234" ht="19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</row>
    <row r="235" ht="19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</row>
    <row r="236" ht="19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</row>
    <row r="237" ht="19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</row>
    <row r="238" ht="19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</row>
    <row r="239" ht="19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</row>
    <row r="240" ht="19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</row>
    <row r="241" ht="19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</row>
    <row r="242" ht="19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</row>
    <row r="243" ht="19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</row>
    <row r="244" ht="19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</row>
    <row r="245" ht="19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</row>
    <row r="246" ht="19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</row>
    <row r="247" ht="19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</row>
    <row r="248" ht="19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</row>
    <row r="249" ht="19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</row>
    <row r="250" ht="19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</row>
    <row r="251" ht="19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</row>
    <row r="252" ht="19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</row>
    <row r="253" ht="19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</row>
    <row r="254" ht="19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</row>
    <row r="255" ht="19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</row>
    <row r="256" ht="19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</row>
    <row r="257" ht="19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</row>
    <row r="258" ht="19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</row>
    <row r="259" ht="19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